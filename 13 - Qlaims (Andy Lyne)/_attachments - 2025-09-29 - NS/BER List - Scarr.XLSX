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saveExternalLinkValues="0" updateLinks="never" codeName="ThisWorkbook" defaultThemeVersion="124226"/>
  <mc:AlternateContent xmlns:mc="http://schemas.openxmlformats.org/markup-compatibility/2006">
    <mc:Choice Requires="x15">
      <x15ac:absPath xmlns:x15ac="http://schemas.microsoft.com/office/spreadsheetml/2010/11/ac" url="C:\Users\bobby\Downloads\"/>
    </mc:Choice>
  </mc:AlternateContent>
  <xr:revisionPtr revIDLastSave="0" documentId="13_ncr:1_{C29418DF-DCDE-4D5F-955A-EA07D203200A}" xr6:coauthVersionLast="47" xr6:coauthVersionMax="47" xr10:uidLastSave="{00000000-0000-0000-0000-000000000000}"/>
  <bookViews>
    <workbookView xWindow="28680" yWindow="-120" windowWidth="38640" windowHeight="21120" tabRatio="925" firstSheet="5" activeTab="8" xr2:uid="{00000000-000D-0000-FFFF-FFFF00000000}"/>
  </bookViews>
  <sheets>
    <sheet name="HOME" sheetId="40" r:id="rId1"/>
    <sheet name="Final Moisture Readings" sheetId="28" r:id="rId2"/>
    <sheet name="Completion Note" sheetId="19" r:id="rId3"/>
    <sheet name="Strip Out Works" sheetId="47" r:id="rId4"/>
    <sheet name="Electricity Usage" sheetId="50" r:id="rId5"/>
    <sheet name="Measurements" sheetId="32" r:id="rId6"/>
    <sheet name="Risk Assessment" sheetId="41" r:id="rId7"/>
    <sheet name="PAT Test" sheetId="53" r:id="rId8"/>
    <sheet name="BER List" sheetId="52" r:id="rId9"/>
    <sheet name="Contents Inventory" sheetId="54" r:id="rId10"/>
    <sheet name="Furniture Restoration" sheetId="51" r:id="rId11"/>
    <sheet name="Dry Cleaning &amp; Laundry" sheetId="44" r:id="rId12"/>
    <sheet name="Drying Method Justification" sheetId="48" r:id="rId13"/>
    <sheet name="Removal &amp; Storage Requirement" sheetId="49" r:id="rId14"/>
  </sheets>
  <externalReferences>
    <externalReference r:id="rId15"/>
  </externalReferences>
  <definedNames>
    <definedName name="Access">#REF!</definedName>
    <definedName name="Action_taken" localSheetId="3">'[1]Data Table'!$AC$5:$AC$16</definedName>
    <definedName name="Action_taken">#REF!</definedName>
    <definedName name="Area" localSheetId="3">'[1]Data Table'!$AG$5:$AG$10</definedName>
    <definedName name="Area">#REF!</definedName>
    <definedName name="areas">#REF!</definedName>
    <definedName name="Asbestos">#REF!</definedName>
    <definedName name="Asbestos_Test" localSheetId="3">'[1]Data Table'!$F$5:$F$8</definedName>
    <definedName name="Asbestos_Test">#REF!</definedName>
    <definedName name="Asbestos_Test_Taken">#REF!</definedName>
    <definedName name="Asbestos_Tests">#REF!</definedName>
    <definedName name="Auth">#REF!</definedName>
    <definedName name="Authority">#REF!</definedName>
    <definedName name="ClaimType">#REF!</definedName>
    <definedName name="code1">#REF!</definedName>
    <definedName name="code2" localSheetId="3">'[1]Data Table'!$B$5:$B$90</definedName>
    <definedName name="code2">#REF!</definedName>
    <definedName name="CollExc">#REF!</definedName>
    <definedName name="condition" localSheetId="3">'[1]Data Table'!$AA$5:$AA$7</definedName>
    <definedName name="condition">#REF!</definedName>
    <definedName name="Condition_Additional" localSheetId="3">'[1]Data Table'!$AB$5:$AB$23</definedName>
    <definedName name="Condition_Additional">#REF!</definedName>
    <definedName name="Damage">#REF!</definedName>
    <definedName name="days" localSheetId="3">'[1]Data Table'!$AI$5:$AI$9</definedName>
    <definedName name="days">#REF!</definedName>
    <definedName name="Dispose" localSheetId="3">'[1]Data Table'!$F$17:$F$18</definedName>
    <definedName name="Dispose">#REF!</definedName>
    <definedName name="electrician">#REF!</definedName>
    <definedName name="Electrics">#REF!</definedName>
    <definedName name="Excess" localSheetId="3">'[1]Data Table'!$T$5:$T$9</definedName>
    <definedName name="Excess">#REF!</definedName>
    <definedName name="Fire_C">#REF!</definedName>
    <definedName name="fire_cat">#REF!</definedName>
    <definedName name="Fire_t">#REF!</definedName>
    <definedName name="fire_type">#REF!</definedName>
    <definedName name="firetype">#REF!</definedName>
    <definedName name="Fixed">#REF!</definedName>
    <definedName name="Floorings">#REF!</definedName>
    <definedName name="from" localSheetId="3">'[1]Data Table'!$AF$5:$AF$7</definedName>
    <definedName name="from">#REF!</definedName>
    <definedName name="HighRisk">#REF!</definedName>
    <definedName name="Incident">#REF!</definedName>
    <definedName name="LA">#REF!</definedName>
    <definedName name="mould">#REF!</definedName>
    <definedName name="photos">#REF!</definedName>
    <definedName name="RA" localSheetId="3">'[1]Data Table'!$AJ$5:$AJ$7</definedName>
    <definedName name="RA">#REF!</definedName>
    <definedName name="response">#REF!</definedName>
    <definedName name="restsuc" localSheetId="3">'[1]Data Table'!$G$17:$G$18</definedName>
    <definedName name="restsuc">#REF!</definedName>
    <definedName name="Result">#REF!</definedName>
    <definedName name="results" localSheetId="3">'[1]Data Table'!$Z$5:$Z$7</definedName>
    <definedName name="results">#REF!</definedName>
    <definedName name="room" localSheetId="3">'[1]Data Table'!$AD$5:$AD$15</definedName>
    <definedName name="room">#REF!</definedName>
    <definedName name="rooms" localSheetId="3">'[1]Data Table'!$AD$5:$AD$768</definedName>
    <definedName name="rooms">#REF!</definedName>
    <definedName name="RoomsEff">#REF!</definedName>
    <definedName name="Service">'Removal &amp; Storage Requirement'!$B$26:$B$28</definedName>
    <definedName name="SLA">#REF!</definedName>
    <definedName name="source">#REF!</definedName>
    <definedName name="Sources">#REF!</definedName>
    <definedName name="Standing">#REF!</definedName>
    <definedName name="Status">#REF!</definedName>
    <definedName name="surface" localSheetId="3">'[1]Data Table'!$AH$5:$AH$7</definedName>
    <definedName name="surface">#REF!</definedName>
    <definedName name="surfaces" localSheetId="3">'[1]Data Table'!$AH$5:$AH$9</definedName>
    <definedName name="surfaces">#REF!</definedName>
    <definedName name="TimeSince">#REF!</definedName>
    <definedName name="WaterType">#REF!</definedName>
    <definedName name="yes">#REF!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1" i="50" l="1"/>
  <c r="G12" i="50"/>
  <c r="G13" i="50"/>
  <c r="G14" i="50"/>
  <c r="G9" i="50"/>
  <c r="G10" i="50"/>
  <c r="C5" i="54"/>
  <c r="C4" i="54"/>
  <c r="C3" i="54"/>
  <c r="C2" i="54"/>
  <c r="C5" i="51"/>
  <c r="C4" i="51"/>
  <c r="C3" i="51"/>
  <c r="C2" i="51"/>
  <c r="D5" i="53"/>
  <c r="D4" i="53"/>
  <c r="D3" i="53"/>
  <c r="D2" i="53"/>
  <c r="E31" i="50"/>
  <c r="F31" i="50" s="1"/>
  <c r="G20" i="50"/>
  <c r="G19" i="50"/>
  <c r="G18" i="50"/>
  <c r="G17" i="50"/>
  <c r="G16" i="50"/>
  <c r="G15" i="50"/>
  <c r="E10" i="48"/>
  <c r="E11" i="48"/>
  <c r="E7" i="48"/>
  <c r="E8" i="48"/>
  <c r="E9" i="48"/>
  <c r="E6" i="48"/>
  <c r="E17" i="49"/>
  <c r="E16" i="49"/>
  <c r="E12" i="49"/>
  <c r="E11" i="49"/>
  <c r="E9" i="49"/>
  <c r="E8" i="49"/>
  <c r="E7" i="49"/>
  <c r="E6" i="49"/>
  <c r="E10" i="49"/>
  <c r="F11" i="47"/>
  <c r="F10" i="47"/>
  <c r="F9" i="47"/>
  <c r="F8" i="47"/>
  <c r="F7" i="47"/>
  <c r="F6" i="47"/>
  <c r="D44" i="19"/>
  <c r="D43" i="19"/>
  <c r="E67" i="28"/>
  <c r="E65" i="28"/>
  <c r="C5" i="44"/>
  <c r="C4" i="44"/>
  <c r="C3" i="44"/>
  <c r="C2" i="44"/>
  <c r="G21" i="50" l="1"/>
  <c r="G25" i="50" s="1"/>
  <c r="C5" i="41"/>
  <c r="C3" i="41"/>
  <c r="E50" i="41"/>
  <c r="E49" i="41"/>
  <c r="B49" i="41"/>
  <c r="I48" i="28" l="1"/>
  <c r="I42" i="28"/>
  <c r="I36" i="28"/>
  <c r="I30" i="28"/>
  <c r="I24" i="28"/>
  <c r="I18" i="28"/>
  <c r="B48" i="28"/>
  <c r="B42" i="28"/>
  <c r="B36" i="28"/>
  <c r="B30" i="28"/>
  <c r="B24" i="28"/>
  <c r="B18" i="28"/>
  <c r="B6" i="32"/>
  <c r="B7" i="32"/>
  <c r="B8" i="32"/>
  <c r="B9" i="32"/>
  <c r="B10" i="32"/>
  <c r="B11" i="32"/>
  <c r="B12" i="32"/>
  <c r="B13" i="32"/>
  <c r="B14" i="32"/>
  <c r="B15" i="32"/>
  <c r="B16" i="32"/>
  <c r="B5" i="32"/>
  <c r="H3" i="32"/>
  <c r="C3" i="32"/>
  <c r="D22" i="19"/>
  <c r="B19" i="19"/>
  <c r="D14" i="19"/>
  <c r="I6" i="19"/>
  <c r="L15" i="28"/>
  <c r="L11" i="28"/>
  <c r="E13" i="28"/>
  <c r="E11" i="28"/>
  <c r="J12" i="32" l="1"/>
  <c r="G5" i="32"/>
  <c r="H16" i="32"/>
  <c r="F15" i="32"/>
  <c r="J14" i="32"/>
  <c r="F11" i="32"/>
  <c r="J10" i="32"/>
  <c r="J9" i="32"/>
  <c r="K8" i="32"/>
  <c r="F6" i="32"/>
  <c r="K7" i="32"/>
  <c r="J16" i="32"/>
  <c r="H10" i="32"/>
  <c r="H14" i="32"/>
  <c r="K10" i="32"/>
  <c r="K14" i="32"/>
  <c r="F14" i="32"/>
  <c r="F10" i="32"/>
  <c r="K6" i="32"/>
  <c r="G13" i="32"/>
  <c r="H12" i="32"/>
  <c r="G11" i="32"/>
  <c r="J8" i="32"/>
  <c r="F7" i="32"/>
  <c r="K16" i="32"/>
  <c r="J6" i="32"/>
  <c r="F12" i="32"/>
  <c r="F16" i="32"/>
  <c r="G15" i="32"/>
  <c r="F8" i="32"/>
  <c r="K12" i="32"/>
  <c r="G14" i="32"/>
  <c r="I14" i="32" s="1"/>
  <c r="H9" i="32"/>
  <c r="G6" i="32"/>
  <c r="H11" i="32"/>
  <c r="J5" i="32"/>
  <c r="K11" i="32"/>
  <c r="G16" i="32"/>
  <c r="I16" i="32" s="1"/>
  <c r="G12" i="32"/>
  <c r="G10" i="32"/>
  <c r="G7" i="32"/>
  <c r="H6" i="32"/>
  <c r="F9" i="32"/>
  <c r="K5" i="32"/>
  <c r="K15" i="32"/>
  <c r="H7" i="32"/>
  <c r="G8" i="32"/>
  <c r="H13" i="32"/>
  <c r="H5" i="32"/>
  <c r="H15" i="32"/>
  <c r="H8" i="32"/>
  <c r="J13" i="32"/>
  <c r="J11" i="32"/>
  <c r="K9" i="32"/>
  <c r="J15" i="32"/>
  <c r="J7" i="32"/>
  <c r="F5" i="32"/>
  <c r="G9" i="32"/>
  <c r="K13" i="32"/>
  <c r="F13" i="32"/>
  <c r="I5" i="32" l="1"/>
  <c r="I12" i="32"/>
  <c r="I13" i="32"/>
  <c r="I10" i="32"/>
  <c r="I11" i="32"/>
  <c r="I6" i="32"/>
  <c r="I9" i="32"/>
  <c r="I15" i="32"/>
  <c r="K17" i="32"/>
  <c r="I7" i="32"/>
  <c r="I8" i="32"/>
  <c r="H17" i="32"/>
  <c r="J17" i="32"/>
  <c r="F17" i="32"/>
  <c r="G17" i="32"/>
  <c r="I17" i="3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wayne ashford</author>
  </authors>
  <commentList>
    <comment ref="G22" authorId="0" shapeId="0" xr:uid="{00000000-0006-0000-0400-000001000000}">
      <text>
        <r>
          <rPr>
            <sz val="9"/>
            <color indexed="81"/>
            <rFont val="Tahoma"/>
            <family val="2"/>
          </rPr>
          <t>This price is for the loss adjuster only to revise.</t>
        </r>
      </text>
    </comment>
    <comment ref="C31" authorId="0" shapeId="0" xr:uid="{00000000-0006-0000-0400-000002000000}">
      <text>
        <r>
          <rPr>
            <sz val="9"/>
            <color indexed="81"/>
            <rFont val="Tahoma"/>
            <family val="2"/>
          </rPr>
          <t>This can usually be found on the appliance.</t>
        </r>
      </text>
    </comment>
  </commentList>
</comments>
</file>

<file path=xl/sharedStrings.xml><?xml version="1.0" encoding="utf-8"?>
<sst xmlns="http://schemas.openxmlformats.org/spreadsheetml/2006/main" count="389" uniqueCount="283">
  <si>
    <t>Response Reference</t>
  </si>
  <si>
    <t>Link</t>
  </si>
  <si>
    <t>Policyholder</t>
  </si>
  <si>
    <t>Final Moisture Readings</t>
  </si>
  <si>
    <t>Address</t>
  </si>
  <si>
    <t>Completion Note</t>
  </si>
  <si>
    <t>Postcode</t>
  </si>
  <si>
    <t>Strip Out Works</t>
  </si>
  <si>
    <t>Telephone</t>
  </si>
  <si>
    <t>Electricity Usage</t>
  </si>
  <si>
    <t>Operator</t>
  </si>
  <si>
    <t>Measurements</t>
  </si>
  <si>
    <t>Operator Address</t>
  </si>
  <si>
    <t>Risk Assessment</t>
  </si>
  <si>
    <t>Technician</t>
  </si>
  <si>
    <t>PAT Test</t>
  </si>
  <si>
    <t>Client Branch (i.e. Davies Watford, BVU etc)</t>
  </si>
  <si>
    <t>BER List</t>
  </si>
  <si>
    <t>Client Handler</t>
  </si>
  <si>
    <t>Contents Inventory</t>
  </si>
  <si>
    <t>Room 1</t>
  </si>
  <si>
    <t>Furniture Restoration</t>
  </si>
  <si>
    <t>Room 2</t>
  </si>
  <si>
    <t>Dry Cleaning &amp; Laundry</t>
  </si>
  <si>
    <t>Room 3</t>
  </si>
  <si>
    <t>Drying Method Justification</t>
  </si>
  <si>
    <t>Room 4</t>
  </si>
  <si>
    <t>Removal &amp; Storage Requirement</t>
  </si>
  <si>
    <t>Room 5</t>
  </si>
  <si>
    <t>Room 6</t>
  </si>
  <si>
    <t>Room 7</t>
  </si>
  <si>
    <t>Room 8</t>
  </si>
  <si>
    <t>Room 9</t>
  </si>
  <si>
    <t>Room 10</t>
  </si>
  <si>
    <t>Room 11</t>
  </si>
  <si>
    <t>Room 12</t>
  </si>
  <si>
    <t>Final Moisture Reading Certificate</t>
  </si>
  <si>
    <t>IMPORTANT NOTE: This document is to certify that the above property has been dried to a satisfactory level in line with the PAS 64 industry guidelines and put back to the pre-loss levels. It is understood and agreed that this final moisture reading certificate relates solely to water damage arising from the incident detailed below. No liability can be accepted for damage arising from any prior or subsequent water damage incident and no liability can be accepted for any pre-existing condition or inherent defect. Choosing to reinstate the property with a different covering than existed previously may demand further drying. Affected areas and their residual conditions are listed below for your attention.</t>
  </si>
  <si>
    <t>Policyholder name:</t>
  </si>
  <si>
    <t>Address:</t>
  </si>
  <si>
    <t>Response ref No:</t>
  </si>
  <si>
    <t>Claim Type</t>
  </si>
  <si>
    <t xml:space="preserve">Room </t>
  </si>
  <si>
    <t xml:space="preserve">Affected Area </t>
  </si>
  <si>
    <t>Initial Reading</t>
  </si>
  <si>
    <t>Final Readings</t>
  </si>
  <si>
    <t>Comments</t>
  </si>
  <si>
    <t>Notes/Comments/Observations</t>
  </si>
  <si>
    <t>Concerns/Pre Incident Condition</t>
  </si>
  <si>
    <t>Date of incident:</t>
  </si>
  <si>
    <t>Completion date:</t>
  </si>
  <si>
    <t>Operator Details:</t>
  </si>
  <si>
    <t>Operator Signature:</t>
  </si>
  <si>
    <t>Date:</t>
  </si>
  <si>
    <t>Claim No:</t>
  </si>
  <si>
    <t>This form should be completed and signed by the Approved Operator and the customer and returned to Response.</t>
  </si>
  <si>
    <t>Policy Holder:</t>
  </si>
  <si>
    <t>Postcode:</t>
  </si>
  <si>
    <t xml:space="preserve">I (Approved Operator) confirm that the insurance based restoration works have been completed: (please tick)        </t>
  </si>
  <si>
    <t>(  )  In accordance with our delegated authority</t>
  </si>
  <si>
    <t>(  )  In accordance with the approved works</t>
  </si>
  <si>
    <r>
      <t xml:space="preserve">I (the customer) confirm that the Approved Operator has completed the agreed works to my satisfaction, and to the best of my knowledge and so far as is reasonably practicable. </t>
    </r>
    <r>
      <rPr>
        <i/>
        <sz val="11"/>
        <rFont val="Calibri"/>
        <family val="2"/>
        <scheme val="minor"/>
      </rPr>
      <t>The customer should not sign unless this form has already been completed and signed by the Operator.</t>
    </r>
  </si>
  <si>
    <t>Operator Signature</t>
  </si>
  <si>
    <t>Print</t>
  </si>
  <si>
    <t>Date</t>
  </si>
  <si>
    <t>On Behalf Of</t>
  </si>
  <si>
    <t>Policyholder Signature</t>
  </si>
  <si>
    <t>Strip Out Request</t>
  </si>
  <si>
    <t>Response Reference Number</t>
  </si>
  <si>
    <t>Response Operator</t>
  </si>
  <si>
    <t>Technician Name</t>
  </si>
  <si>
    <t>Details</t>
  </si>
  <si>
    <t>WHAT STRIP OUT WORKS ARE BEING REQUESTED?</t>
  </si>
  <si>
    <t>(Please include approx room measurements, room location, details of work required inc approx sizes etc)</t>
  </si>
  <si>
    <t>Room</t>
  </si>
  <si>
    <t>Size</t>
  </si>
  <si>
    <t>Detail</t>
  </si>
  <si>
    <t>Length</t>
  </si>
  <si>
    <t>Width</t>
  </si>
  <si>
    <t>Height</t>
  </si>
  <si>
    <t>ANY ADDITIONAL INFORMATION?</t>
  </si>
  <si>
    <t>(provide additional information which may help the contractor undertake the necessary works)</t>
  </si>
  <si>
    <t>PHOTOS?</t>
  </si>
  <si>
    <t>Electricity usage calculation sheet</t>
  </si>
  <si>
    <t>Equipment</t>
  </si>
  <si>
    <t>Qty</t>
  </si>
  <si>
    <t>Days on site</t>
  </si>
  <si>
    <t>Hours per day used</t>
  </si>
  <si>
    <t>Kw's</t>
  </si>
  <si>
    <t>Total amount of units</t>
  </si>
  <si>
    <t xml:space="preserve">Total units </t>
  </si>
  <si>
    <r>
      <rPr>
        <b/>
        <u/>
        <sz val="11"/>
        <color rgb="FFFF0000"/>
        <rFont val="Calibri"/>
        <family val="2"/>
        <scheme val="minor"/>
      </rPr>
      <t>Please note:</t>
    </r>
    <r>
      <rPr>
        <b/>
        <sz val="11"/>
        <color rgb="FFFF0000"/>
        <rFont val="Calibri"/>
        <family val="2"/>
        <scheme val="minor"/>
      </rPr>
      <t xml:space="preserve"> Cost per Kwh will have to be obtained from the policy holder by the Loss Adjuster as the cost per unit vary from company to company</t>
    </r>
  </si>
  <si>
    <t xml:space="preserve"> For Loss Adjuster Use Only - Cost per Kwh</t>
  </si>
  <si>
    <t>The figure above is for guidance only and may not be accurate. Accurate costs should be gained from the policy holder</t>
  </si>
  <si>
    <t>Estimated cost of electricity used</t>
  </si>
  <si>
    <t>Instruction for use: Enter the type of equipment being used, the amount of that equipment, how many days the equipment was on site, how many hours a day the equipment was running for, the kw's of the equipment. This will give the total amount of units in Kwh's that the equipment has used whilst it has been on site. Below is a calculator to help you work out the wattage of each item of equipment if it is not shown on the machine.</t>
  </si>
  <si>
    <t>Amps</t>
  </si>
  <si>
    <t>Volts</t>
  </si>
  <si>
    <t>Watt's</t>
  </si>
  <si>
    <t>Total Kw's</t>
  </si>
  <si>
    <t>Linear metres</t>
  </si>
  <si>
    <t>Long Wall M2</t>
  </si>
  <si>
    <t>Short Wall M2</t>
  </si>
  <si>
    <t>Total Walls (incl. Doors/ windows)</t>
  </si>
  <si>
    <t>M2 Floor or Ceiling</t>
  </si>
  <si>
    <t>Total M3</t>
  </si>
  <si>
    <t>Totals</t>
  </si>
  <si>
    <t xml:space="preserve">                                         </t>
  </si>
  <si>
    <t>SITE SPECIFIC RISK ASSESSMENT</t>
  </si>
  <si>
    <t>Policyholder:</t>
  </si>
  <si>
    <t>If no generic or specific risk assessments apply &amp; no undue risk is perceived beyond that which is acceptable, please confirm.</t>
  </si>
  <si>
    <t>Ref:</t>
  </si>
  <si>
    <t>Persons Affected</t>
  </si>
  <si>
    <t>Numbers</t>
  </si>
  <si>
    <t>Risk Value Table</t>
  </si>
  <si>
    <t xml:space="preserve">Risk  = Likelihood X Severity  </t>
  </si>
  <si>
    <t>Likelihood</t>
  </si>
  <si>
    <t>Severity</t>
  </si>
  <si>
    <t>Improbable</t>
  </si>
  <si>
    <t>Minor</t>
  </si>
  <si>
    <t xml:space="preserve">Possible </t>
  </si>
  <si>
    <t>Over 3 day injury</t>
  </si>
  <si>
    <t>Probable</t>
  </si>
  <si>
    <t>Fatal / major injury</t>
  </si>
  <si>
    <t xml:space="preserve">                          LOW (L) = 1-2             MEDUIM (M) = 3-5            HIGH (H) = 6-9</t>
  </si>
  <si>
    <t>Significant Hazard</t>
  </si>
  <si>
    <t>Type of injury and possible severity</t>
  </si>
  <si>
    <t>Risk Value</t>
  </si>
  <si>
    <t xml:space="preserve">                            Additional Control Measures</t>
  </si>
  <si>
    <t>(H/M/L OR N/A)</t>
  </si>
  <si>
    <t>Asbestos</t>
  </si>
  <si>
    <t>Fatal lung cancer, mesothelioma and potentially fatal diseases including asbestosis and pleural plaques</t>
  </si>
  <si>
    <t>Do not enter the area where possible - view from outside?. If entry is required, trained personnel to wear FFP3 face mask, disposable overalls and gloves. Do not disturb debris. Do not use drying equipment - advise client of possible danger &amp; arrange asbestos sampling as a priority.</t>
  </si>
  <si>
    <t>Structural instability of building due to fire damage, subsidence etc</t>
  </si>
  <si>
    <t>Buildings, floors, access &amp; egress routes may prematurely collapse - fatal &amp; major injuries including falls from height and crushing injuries</t>
  </si>
  <si>
    <t>Do not walk on, or by, affected suspended floors or structures that are liable to collapse. Consult with competent person prior to entry and liaise with fire brigade where possible. If high risk - do not enter building.</t>
  </si>
  <si>
    <t>Failing debris and structures</t>
  </si>
  <si>
    <t>Serious head injuries from being struck by falling objects including roof tiles, plasterboard, gutters etc</t>
  </si>
  <si>
    <t>If high risk do not enter area - assess damage away from danger zone. If there is a foreseeable risk of head injury - wear a hard hat.</t>
  </si>
  <si>
    <t>Working at heights</t>
  </si>
  <si>
    <t>Potentially fatal injuries caused by falling from roofs , through ceilings etc</t>
  </si>
  <si>
    <t>NEVER stand on roofs - view from an overlooking window?. If access still required onto roof, contact Eastwell for a safe system of work.</t>
  </si>
  <si>
    <t xml:space="preserve">Lacerations and fractures from falls from access equipment </t>
  </si>
  <si>
    <t>DO NOT use client stepladders or ladders for access. ONLY TRAINED personnel to use Davies registered equipment. Inspect stepladders and ladders prior to use for damage.  Stepladders should be fully opened and used on a clean, level floor.</t>
  </si>
  <si>
    <t>Ladders should only be used for low risk, short duration work - be erected at an angle of 1 in 4, extend past the landing platform and be secured to prevent slipping. ONLY USE with assisting, trained, Davies employee.</t>
  </si>
  <si>
    <t>Damaged or exposed services</t>
  </si>
  <si>
    <t>Potentially fatal electric shock and gas explosion</t>
  </si>
  <si>
    <t xml:space="preserve">Do not touch or inspect any electrical services. Competent electrician to isolate electrical supplies prior to entry. Do not enter if there is a smell of gas.  No smoking in premises.                                                           </t>
  </si>
  <si>
    <t>Entering flooded properties</t>
  </si>
  <si>
    <t>Exposure to biological agents including Weil's disease and E-Coli through contact with contaminated water (sewage)</t>
  </si>
  <si>
    <t>Is there a requirement to enter the premises? Wear disposable FFP3 face mask, disposable overalls &amp; gloves, wellingtons and safety spectacles. Wash hands thoroughly after visiting site and before eating.</t>
  </si>
  <si>
    <t>Submerged dangers with serious injuries from slips, trips and falls</t>
  </si>
  <si>
    <t>Accompany client who will have a better awareness of potential hazards e.g. changes in level - Ensure electrical supply is isolated prior to entry.</t>
  </si>
  <si>
    <t>Aggressive environments</t>
  </si>
  <si>
    <t>Serious injuries from assault by client or 3rd parties especially after repudiation of claim</t>
  </si>
  <si>
    <t>Trained persons to assess for signs of aggression, alcohol and substance abuse. If in doubt, do not enter premises. Remain calm and avoid confrontation at all times. Leave immediately if the confrontation escalates beyond an expression of verbal frustration.</t>
  </si>
  <si>
    <t>Possible serious lacerations caused by animal attacks</t>
  </si>
  <si>
    <t>Do not enter property where there are loose dogs. Request that the owner secures the animal in a separate area.</t>
  </si>
  <si>
    <t>Lone working</t>
  </si>
  <si>
    <t>Serious assault by client or 3rd parties including neighbours</t>
  </si>
  <si>
    <t>Remain calm, professional and avoid confrontation - leave the property immediately if you feel threatened. Report the threat.</t>
  </si>
  <si>
    <t>Severity of injury increases with delayed treatment after an incident</t>
  </si>
  <si>
    <t>Ensure that your electronic calendar is up to date. Report into the office at agreed intervals. Always have your mobile phone ready in case an emergency arises. Do not enter the property if unaccompanied.</t>
  </si>
  <si>
    <t>Inspection at roadside</t>
  </si>
  <si>
    <t>Serious crushing injuries caused by impact with moving vehicle</t>
  </si>
  <si>
    <t>Position company car with hazard warning lights to provide protection - wear high visibility vest  - complete inspection during quieter periods.</t>
  </si>
  <si>
    <t>Scenes involving fatality or wounding</t>
  </si>
  <si>
    <t>Absorption (blood and fluids) of biological agents  including hepatitis through cuts and scratches in skin</t>
  </si>
  <si>
    <t>Do not touch any fluids or handle contaminated items. Wear disposable gloves &amp; overalls, safety  boots and safety spectacles.</t>
  </si>
  <si>
    <t>Needle stick injuries - injection of biological agents including HIV / AIDS and hepatitis</t>
  </si>
  <si>
    <t>Do not touch any needles. Move through the property carefully and try to avoid disturbing the contents. If an incident occurs seek medical attention immediately.</t>
  </si>
  <si>
    <t>Mold spores</t>
  </si>
  <si>
    <t>Infections after inhalation</t>
  </si>
  <si>
    <t>Wear disposable FFP3 face mask, gloves and overalls.</t>
  </si>
  <si>
    <t>Low lighting levels</t>
  </si>
  <si>
    <t>Lacerations and bruises from slips, trips and falls</t>
  </si>
  <si>
    <t>Use torch if necessary for additional lighting. Competent electrician to provide temporary 110V lighting.</t>
  </si>
  <si>
    <t>Risks</t>
  </si>
  <si>
    <r>
      <t>Yes</t>
    </r>
    <r>
      <rPr>
        <b/>
        <sz val="10"/>
        <color theme="0"/>
        <rFont val="Calibri"/>
        <family val="2"/>
        <scheme val="minor"/>
      </rPr>
      <t xml:space="preserve"> </t>
    </r>
  </si>
  <si>
    <r>
      <t>Additional control measures have reduced all risks to an a</t>
    </r>
    <r>
      <rPr>
        <b/>
        <i/>
        <sz val="8"/>
        <color theme="1"/>
        <rFont val="Calibri"/>
        <family val="2"/>
        <scheme val="minor"/>
      </rPr>
      <t xml:space="preserve">cceptable level (L) </t>
    </r>
    <r>
      <rPr>
        <b/>
        <sz val="8"/>
        <color theme="1"/>
        <rFont val="Calibri"/>
        <family val="2"/>
        <scheme val="minor"/>
      </rPr>
      <t>and it is safe to enter the premises. Proceed with care and monitor conditions</t>
    </r>
  </si>
  <si>
    <t xml:space="preserve">No </t>
  </si>
  <si>
    <t>DO NOT ENTER PREMISES - either introduce further control measures (document overleaf) or consult with company guidance for next step.</t>
  </si>
  <si>
    <t>Print Name</t>
  </si>
  <si>
    <t>Signed</t>
  </si>
  <si>
    <t xml:space="preserve">POLICY HOLDER: </t>
  </si>
  <si>
    <t xml:space="preserve">ADDRESS: </t>
  </si>
  <si>
    <t xml:space="preserve">CLAIM REFERENCE:  </t>
  </si>
  <si>
    <t xml:space="preserve">OPERATOR NAME:  </t>
  </si>
  <si>
    <t>PAT Test Results / Certificate</t>
  </si>
  <si>
    <t>Ser No</t>
  </si>
  <si>
    <t>Appliance Description</t>
  </si>
  <si>
    <t xml:space="preserve">Model </t>
  </si>
  <si>
    <t>Serial No</t>
  </si>
  <si>
    <t>Test Date</t>
  </si>
  <si>
    <t>Visual</t>
  </si>
  <si>
    <t>Polarity</t>
  </si>
  <si>
    <t>Earth Continuity (Ohms)</t>
  </si>
  <si>
    <t>Insulation (MOhms)</t>
  </si>
  <si>
    <t>Load (kVA)</t>
  </si>
  <si>
    <t>Overall Status</t>
  </si>
  <si>
    <t>BER Inventory</t>
  </si>
  <si>
    <t>Item Description</t>
  </si>
  <si>
    <t>Make / Model  numbers</t>
  </si>
  <si>
    <t>Photo taken</t>
  </si>
  <si>
    <t>Details of Damage to item caused by peril?</t>
  </si>
  <si>
    <t>Restoration not applicable - why</t>
  </si>
  <si>
    <t>Receipt available Y/N</t>
  </si>
  <si>
    <t>Purchase Price</t>
  </si>
  <si>
    <t>Operative Signature</t>
  </si>
  <si>
    <t>Serial</t>
  </si>
  <si>
    <t>Item</t>
  </si>
  <si>
    <t>Model Number</t>
  </si>
  <si>
    <t>Serial number</t>
  </si>
  <si>
    <t>Where Stored</t>
  </si>
  <si>
    <t>Photos</t>
  </si>
  <si>
    <t>Pre-incident damage</t>
  </si>
  <si>
    <t>Description of Damage</t>
  </si>
  <si>
    <t>Pre-Incident Damage Photo</t>
  </si>
  <si>
    <t>Restoration Company Appointed?</t>
  </si>
  <si>
    <t>Approximate Age</t>
  </si>
  <si>
    <t>Receipt Available? Y/N</t>
  </si>
  <si>
    <t>Estimated Replacement   Value</t>
  </si>
  <si>
    <t>Restoration Costs</t>
  </si>
  <si>
    <t>DRY CLEANING &amp; LAUNDRY RESTORATION</t>
  </si>
  <si>
    <t>Quantity</t>
  </si>
  <si>
    <t>Dry Clean or Launder? (D or L)</t>
  </si>
  <si>
    <t>Restoration Company Appointed?Who</t>
  </si>
  <si>
    <t>Has PH confirmed they want item restoring? Y/N</t>
  </si>
  <si>
    <t>Estimated Replacement Value</t>
  </si>
  <si>
    <t>Drying Methodology Justification</t>
  </si>
  <si>
    <t>Cause</t>
  </si>
  <si>
    <t>Building Construction / Area</t>
  </si>
  <si>
    <t>Floors</t>
  </si>
  <si>
    <t>Walls</t>
  </si>
  <si>
    <t>Ceilings</t>
  </si>
  <si>
    <t>Asbestos Testing</t>
  </si>
  <si>
    <t>Yes / No</t>
  </si>
  <si>
    <t>Removal of Contents Required?</t>
  </si>
  <si>
    <t>Speed Drying Methods To Be Utilised?</t>
  </si>
  <si>
    <t>Speed Drying Appropriate?</t>
  </si>
  <si>
    <t>Trailer</t>
  </si>
  <si>
    <t>ADS3000</t>
  </si>
  <si>
    <t>Drymatic</t>
  </si>
  <si>
    <t>HPV</t>
  </si>
  <si>
    <t>Injection</t>
  </si>
  <si>
    <t>DAD Blankets</t>
  </si>
  <si>
    <t>Details of Drying Application</t>
  </si>
  <si>
    <t>If No, Details Reasons</t>
  </si>
  <si>
    <t>Conventional Drying</t>
  </si>
  <si>
    <t>Cost</t>
  </si>
  <si>
    <t>Duration</t>
  </si>
  <si>
    <t>Speed Drying</t>
  </si>
  <si>
    <t>Details / Areas / Extent</t>
  </si>
  <si>
    <t>Strip Out Required  If Conventional Drying</t>
  </si>
  <si>
    <t>Strip Out Required  If Speed Drying</t>
  </si>
  <si>
    <t>Claim Details</t>
  </si>
  <si>
    <t>Client Details</t>
  </si>
  <si>
    <t>Client Branch</t>
  </si>
  <si>
    <t>Client Reference</t>
  </si>
  <si>
    <t>Storage Details</t>
  </si>
  <si>
    <t>Service Required</t>
  </si>
  <si>
    <t>Required From Date</t>
  </si>
  <si>
    <t>Approx Length Required (Months)</t>
  </si>
  <si>
    <t>Details (rooms, items etc)</t>
  </si>
  <si>
    <t>See Provided Inventory</t>
  </si>
  <si>
    <t>Removals Only</t>
  </si>
  <si>
    <t>Storage Only</t>
  </si>
  <si>
    <t>Removal &amp; Storage</t>
  </si>
  <si>
    <t>Golf Buggy</t>
  </si>
  <si>
    <t>Motocady M7</t>
  </si>
  <si>
    <t>Yes</t>
  </si>
  <si>
    <t>Sewrage Flood</t>
  </si>
  <si>
    <t>N/A</t>
  </si>
  <si>
    <t>N</t>
  </si>
  <si>
    <t>1 Riverside Cottages The Dean, Alresford, SO24 9BE</t>
  </si>
  <si>
    <t xml:space="preserve">Mrs Louisa Scarr &amp; Mr Nicholas Scarr </t>
  </si>
  <si>
    <t>Rob Beaufoy</t>
  </si>
  <si>
    <t>x2 Floor Rugs</t>
  </si>
  <si>
    <t>1x set of curtains</t>
  </si>
  <si>
    <t>x2 non slip under floor rugs</t>
  </si>
  <si>
    <t>Majority</t>
  </si>
  <si>
    <t>1x  sound bar</t>
  </si>
  <si>
    <t>11x photo frames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</si>
</sst>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164" formatCode="_(&quot;£&quot;* #,##0.00_);_(&quot;£&quot;* \(#,##0.00\);_(&quot;£&quot;* &quot;-&quot;??_);_(@_)"/>
    <numFmt numFmtId="165" formatCode="&quot;£&quot;#,##0.00"/>
    <numFmt numFmtId="166" formatCode="_(&quot;$&quot;* #,##0.00_);_(&quot;$&quot;* \(#,##0.00\);_(&quot;$&quot;* &quot;-&quot;??_);_(@_)"/>
  </numFmts>
  <fonts count="45">
    <font>
      <sz val="11"/>
      <color theme="1"/>
      <name val="Calibri"/>
      <family val="2"/>
      <scheme val="minor"/>
    </font>
    <font>
      <sz val="10"/>
      <name val="EnergisPresent"/>
    </font>
    <font>
      <sz val="10"/>
      <name val="Arial"/>
      <family val="2"/>
    </font>
    <font>
      <sz val="9"/>
      <color indexed="81"/>
      <name val="Tahoma"/>
      <family val="2"/>
    </font>
    <font>
      <sz val="11"/>
      <color theme="1"/>
      <name val="Calibri"/>
      <family val="2"/>
      <scheme val="minor"/>
    </font>
    <font>
      <sz val="14"/>
      <name val="Calibri"/>
      <family val="2"/>
      <scheme val="minor"/>
    </font>
    <font>
      <sz val="10"/>
      <name val="Calibri"/>
      <family val="2"/>
      <scheme val="minor"/>
    </font>
    <font>
      <sz val="11"/>
      <name val="Calibri"/>
      <family val="2"/>
      <scheme val="minor"/>
    </font>
    <font>
      <b/>
      <sz val="10"/>
      <color theme="1"/>
      <name val="Calibri"/>
      <family val="2"/>
      <scheme val="minor"/>
    </font>
    <font>
      <sz val="10"/>
      <color theme="1"/>
      <name val="Calibri"/>
      <family val="2"/>
      <scheme val="minor"/>
    </font>
    <font>
      <sz val="14"/>
      <color rgb="FFFF0000"/>
      <name val="Calibri"/>
      <family val="2"/>
      <scheme val="minor"/>
    </font>
    <font>
      <sz val="22"/>
      <name val="Calibri"/>
      <family val="2"/>
      <scheme val="minor"/>
    </font>
    <font>
      <b/>
      <sz val="11"/>
      <name val="Calibri"/>
      <family val="2"/>
      <scheme val="minor"/>
    </font>
    <font>
      <b/>
      <sz val="8"/>
      <color theme="1"/>
      <name val="Calibri"/>
      <family val="2"/>
      <scheme val="minor"/>
    </font>
    <font>
      <sz val="8"/>
      <color theme="1"/>
      <name val="Calibri"/>
      <family val="2"/>
      <scheme val="minor"/>
    </font>
    <font>
      <sz val="8"/>
      <name val="Calibri"/>
      <family val="2"/>
      <scheme val="minor"/>
    </font>
    <font>
      <b/>
      <i/>
      <sz val="8"/>
      <color theme="1"/>
      <name val="Calibri"/>
      <family val="2"/>
      <scheme val="minor"/>
    </font>
    <font>
      <b/>
      <sz val="11"/>
      <color theme="1"/>
      <name val="Calibri"/>
      <family val="2"/>
      <scheme val="minor"/>
    </font>
    <font>
      <i/>
      <sz val="10"/>
      <color rgb="FFFF0000"/>
      <name val="Calibri"/>
      <family val="2"/>
      <scheme val="minor"/>
    </font>
    <font>
      <i/>
      <sz val="11"/>
      <color rgb="FFFF0000"/>
      <name val="Calibri"/>
      <family val="2"/>
      <scheme val="minor"/>
    </font>
    <font>
      <b/>
      <sz val="11"/>
      <color rgb="FFFF0000"/>
      <name val="Calibri"/>
      <family val="2"/>
      <scheme val="minor"/>
    </font>
    <font>
      <sz val="11"/>
      <color theme="0"/>
      <name val="Calibri"/>
      <family val="2"/>
      <scheme val="minor"/>
    </font>
    <font>
      <sz val="10"/>
      <name val="Arial"/>
      <family val="2"/>
    </font>
    <font>
      <b/>
      <sz val="12"/>
      <color rgb="FF92D050"/>
      <name val="Calibri"/>
      <family val="2"/>
      <scheme val="minor"/>
    </font>
    <font>
      <b/>
      <i/>
      <sz val="8"/>
      <color rgb="FFFF0000"/>
      <name val="Calibri"/>
      <family val="2"/>
      <scheme val="minor"/>
    </font>
    <font>
      <b/>
      <sz val="10"/>
      <name val="Calibri"/>
      <family val="2"/>
      <scheme val="minor"/>
    </font>
    <font>
      <sz val="12"/>
      <name val="Calibri"/>
      <family val="2"/>
      <scheme val="minor"/>
    </font>
    <font>
      <i/>
      <sz val="11"/>
      <name val="Calibri"/>
      <family val="2"/>
      <scheme val="minor"/>
    </font>
    <font>
      <b/>
      <u/>
      <sz val="11"/>
      <color rgb="FFFF0000"/>
      <name val="Calibri"/>
      <family val="2"/>
      <scheme val="minor"/>
    </font>
    <font>
      <sz val="9"/>
      <name val="Calibri"/>
      <family val="2"/>
      <scheme val="minor"/>
    </font>
    <font>
      <b/>
      <sz val="7"/>
      <color rgb="FFFF0000"/>
      <name val="Calibri"/>
      <family val="2"/>
      <scheme val="minor"/>
    </font>
    <font>
      <b/>
      <i/>
      <sz val="9"/>
      <color theme="0"/>
      <name val="Calibri"/>
      <family val="2"/>
      <scheme val="minor"/>
    </font>
    <font>
      <b/>
      <sz val="11"/>
      <color rgb="FF00B050"/>
      <name val="Calibri"/>
      <family val="2"/>
      <scheme val="minor"/>
    </font>
    <font>
      <sz val="12"/>
      <color theme="1"/>
      <name val="Calibri"/>
      <family val="2"/>
      <scheme val="minor"/>
    </font>
    <font>
      <u/>
      <sz val="11"/>
      <color theme="10"/>
      <name val="Calibri"/>
      <family val="2"/>
    </font>
    <font>
      <b/>
      <sz val="11"/>
      <color theme="0"/>
      <name val="Calibri"/>
      <family val="2"/>
      <scheme val="minor"/>
    </font>
    <font>
      <b/>
      <sz val="18"/>
      <color theme="0"/>
      <name val="Calibri"/>
      <family val="2"/>
      <scheme val="minor"/>
    </font>
    <font>
      <b/>
      <u/>
      <sz val="20"/>
      <color theme="0"/>
      <name val="Calibri"/>
      <family val="2"/>
      <scheme val="minor"/>
    </font>
    <font>
      <b/>
      <sz val="12"/>
      <color theme="0"/>
      <name val="Calibri"/>
      <family val="2"/>
      <scheme val="minor"/>
    </font>
    <font>
      <b/>
      <sz val="10"/>
      <color theme="0"/>
      <name val="Calibri"/>
      <family val="2"/>
      <scheme val="minor"/>
    </font>
    <font>
      <b/>
      <sz val="8"/>
      <color theme="0"/>
      <name val="Calibri"/>
      <family val="2"/>
      <scheme val="minor"/>
    </font>
    <font>
      <sz val="8"/>
      <color theme="0"/>
      <name val="Calibri"/>
      <family val="2"/>
      <scheme val="minor"/>
    </font>
    <font>
      <sz val="10"/>
      <color theme="0"/>
      <name val="Calibri"/>
      <family val="2"/>
      <scheme val="minor"/>
    </font>
    <font>
      <b/>
      <sz val="9"/>
      <color theme="0"/>
      <name val="Calibri"/>
      <family val="2"/>
      <scheme val="minor"/>
    </font>
    <font>
      <b/>
      <sz val="20"/>
      <color theme="0"/>
      <name val="Calibri"/>
      <family val="2"/>
      <scheme val="minor"/>
    </font>
  </fonts>
  <fills count="6">
    <fill>
      <patternFill patternType="none"/>
    </fill>
    <fill>
      <patternFill patternType="gray125"/>
    </fill>
    <fill>
      <patternFill patternType="solid">
        <fgColor theme="0"/>
        <bgColor indexed="64"/>
      </patternFill>
    </fill>
    <fill>
      <patternFill patternType="solid">
        <fgColor indexed="26"/>
        <bgColor indexed="64"/>
      </patternFill>
    </fill>
    <fill>
      <patternFill patternType="solid">
        <fgColor theme="4" tint="-0.249977111117893"/>
        <bgColor indexed="64"/>
      </patternFill>
    </fill>
    <fill>
      <patternFill patternType="solid">
        <fgColor rgb="FFFF0000"/>
        <bgColor indexed="64"/>
      </patternFill>
    </fill>
  </fills>
  <borders count="5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right style="medium">
        <color indexed="64"/>
      </right>
      <top/>
      <bottom/>
      <diagonal/>
    </border>
    <border>
      <left style="medium">
        <color indexed="64"/>
      </left>
      <right style="thin">
        <color indexed="64"/>
      </right>
      <top/>
      <bottom/>
      <diagonal/>
    </border>
    <border>
      <left style="thin">
        <color indexed="64"/>
      </left>
      <right/>
      <top/>
      <bottom style="medium">
        <color indexed="64"/>
      </bottom>
      <diagonal/>
    </border>
    <border>
      <left/>
      <right style="thin">
        <color indexed="64"/>
      </right>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s>
  <cellStyleXfs count="11">
    <xf numFmtId="0" fontId="0" fillId="0" borderId="0"/>
    <xf numFmtId="44" fontId="4" fillId="0" borderId="0" applyFont="0" applyFill="0" applyBorder="0" applyAlignment="0" applyProtection="0"/>
    <xf numFmtId="44" fontId="1" fillId="0" borderId="0" applyFont="0" applyFill="0" applyBorder="0" applyAlignment="0" applyProtection="0"/>
    <xf numFmtId="0" fontId="1" fillId="0" borderId="0"/>
    <xf numFmtId="9" fontId="4" fillId="0" borderId="0" applyFont="0" applyFill="0" applyBorder="0" applyAlignment="0" applyProtection="0"/>
    <xf numFmtId="0" fontId="2" fillId="0" borderId="0"/>
    <xf numFmtId="44" fontId="2" fillId="0" borderId="0" applyFont="0" applyFill="0" applyBorder="0" applyAlignment="0" applyProtection="0"/>
    <xf numFmtId="166" fontId="2" fillId="0" borderId="0" applyFont="0" applyFill="0" applyBorder="0" applyAlignment="0" applyProtection="0"/>
    <xf numFmtId="0" fontId="4" fillId="0" borderId="0"/>
    <xf numFmtId="0" fontId="22" fillId="0" borderId="0"/>
    <xf numFmtId="0" fontId="34" fillId="0" borderId="0" applyNumberFormat="0" applyFill="0" applyBorder="0" applyAlignment="0" applyProtection="0">
      <alignment vertical="top"/>
      <protection locked="0"/>
    </xf>
  </cellStyleXfs>
  <cellXfs count="440">
    <xf numFmtId="0" fontId="0" fillId="0" borderId="0" xfId="0"/>
    <xf numFmtId="0" fontId="7" fillId="0" borderId="0" xfId="3" applyFont="1" applyAlignment="1">
      <alignment horizontal="center" vertical="top" wrapText="1"/>
    </xf>
    <xf numFmtId="0" fontId="7" fillId="0" borderId="0" xfId="3" applyFont="1"/>
    <xf numFmtId="0" fontId="7" fillId="2" borderId="0" xfId="3" applyFont="1" applyFill="1"/>
    <xf numFmtId="1" fontId="12" fillId="0" borderId="0" xfId="3" applyNumberFormat="1" applyFont="1" applyAlignment="1">
      <alignment vertical="top" wrapText="1"/>
    </xf>
    <xf numFmtId="0" fontId="12" fillId="2" borderId="0" xfId="3" applyFont="1" applyFill="1" applyAlignment="1">
      <alignment vertical="center"/>
    </xf>
    <xf numFmtId="1" fontId="12" fillId="0" borderId="0" xfId="3" applyNumberFormat="1" applyFont="1" applyAlignment="1">
      <alignment horizontal="left" vertical="top" wrapText="1"/>
    </xf>
    <xf numFmtId="1" fontId="12" fillId="0" borderId="0" xfId="3" applyNumberFormat="1" applyFont="1" applyAlignment="1">
      <alignment horizontal="center" vertical="top" wrapText="1"/>
    </xf>
    <xf numFmtId="0" fontId="12" fillId="0" borderId="0" xfId="3" applyFont="1" applyAlignment="1">
      <alignment vertical="top" wrapText="1"/>
    </xf>
    <xf numFmtId="0" fontId="7" fillId="0" borderId="0" xfId="3" applyFont="1" applyAlignment="1">
      <alignment vertical="top" wrapText="1"/>
    </xf>
    <xf numFmtId="0" fontId="7" fillId="0" borderId="0" xfId="3" applyFont="1" applyAlignment="1">
      <alignment wrapText="1"/>
    </xf>
    <xf numFmtId="0" fontId="7" fillId="0" borderId="0" xfId="3" applyFont="1" applyAlignment="1">
      <alignment horizontal="center" wrapText="1"/>
    </xf>
    <xf numFmtId="0" fontId="7" fillId="0" borderId="0" xfId="3" applyFont="1" applyAlignment="1">
      <alignment horizontal="left" vertical="top" wrapText="1"/>
    </xf>
    <xf numFmtId="0" fontId="12" fillId="0" borderId="0" xfId="3" applyFont="1" applyAlignment="1">
      <alignment horizontal="center" vertical="top" wrapText="1"/>
    </xf>
    <xf numFmtId="0" fontId="12" fillId="0" borderId="0" xfId="3" applyFont="1"/>
    <xf numFmtId="0" fontId="7" fillId="0" borderId="1" xfId="3" applyFont="1" applyBorder="1" applyAlignment="1" applyProtection="1">
      <alignment horizontal="center" vertical="center" wrapText="1"/>
      <protection hidden="1"/>
    </xf>
    <xf numFmtId="9" fontId="7" fillId="0" borderId="14" xfId="3" applyNumberFormat="1" applyFont="1" applyBorder="1" applyAlignment="1" applyProtection="1">
      <alignment horizontal="left" vertical="center" wrapText="1"/>
      <protection hidden="1"/>
    </xf>
    <xf numFmtId="9" fontId="7" fillId="2" borderId="14" xfId="3" applyNumberFormat="1" applyFont="1" applyFill="1" applyBorder="1" applyAlignment="1" applyProtection="1">
      <alignment horizontal="left" vertical="center" wrapText="1"/>
      <protection hidden="1"/>
    </xf>
    <xf numFmtId="9" fontId="7" fillId="0" borderId="1" xfId="3" applyNumberFormat="1" applyFont="1" applyBorder="1" applyAlignment="1" applyProtection="1">
      <alignment horizontal="left" vertical="center" wrapText="1"/>
      <protection hidden="1"/>
    </xf>
    <xf numFmtId="9" fontId="4" fillId="0" borderId="0" xfId="4" applyFont="1"/>
    <xf numFmtId="9" fontId="7" fillId="0" borderId="0" xfId="4" applyFont="1" applyFill="1" applyBorder="1" applyAlignment="1">
      <alignment horizontal="center" vertical="top" wrapText="1"/>
    </xf>
    <xf numFmtId="9" fontId="7" fillId="0" borderId="0" xfId="4" applyFont="1"/>
    <xf numFmtId="9" fontId="12" fillId="0" borderId="0" xfId="4" applyFont="1" applyBorder="1" applyAlignment="1">
      <alignment horizontal="left" vertical="top" wrapText="1"/>
    </xf>
    <xf numFmtId="9" fontId="7" fillId="0" borderId="1" xfId="4" applyFont="1" applyBorder="1" applyAlignment="1" applyProtection="1">
      <alignment horizontal="center" vertical="center" wrapText="1"/>
      <protection hidden="1"/>
    </xf>
    <xf numFmtId="9" fontId="7" fillId="0" borderId="0" xfId="4" applyFont="1" applyBorder="1" applyAlignment="1">
      <alignment wrapText="1"/>
    </xf>
    <xf numFmtId="9" fontId="7" fillId="0" borderId="0" xfId="4" applyFont="1" applyAlignment="1">
      <alignment horizontal="left" vertical="top" wrapText="1"/>
    </xf>
    <xf numFmtId="9" fontId="12" fillId="0" borderId="0" xfId="4" applyFont="1" applyBorder="1" applyAlignment="1">
      <alignment vertical="top" wrapText="1"/>
    </xf>
    <xf numFmtId="9" fontId="7" fillId="0" borderId="0" xfId="4" applyFont="1" applyAlignment="1">
      <alignment horizontal="center" vertical="center"/>
    </xf>
    <xf numFmtId="9" fontId="7" fillId="0" borderId="0" xfId="4" applyFont="1" applyBorder="1"/>
    <xf numFmtId="9" fontId="7" fillId="0" borderId="0" xfId="4" applyFont="1" applyFill="1" applyBorder="1"/>
    <xf numFmtId="0" fontId="8" fillId="0" borderId="0" xfId="3" applyFont="1"/>
    <xf numFmtId="0" fontId="14" fillId="0" borderId="22" xfId="3" applyFont="1" applyBorder="1" applyAlignment="1" applyProtection="1">
      <alignment vertical="center"/>
      <protection locked="0"/>
    </xf>
    <xf numFmtId="0" fontId="14" fillId="0" borderId="23" xfId="3" applyFont="1" applyBorder="1" applyAlignment="1" applyProtection="1">
      <alignment vertical="center"/>
      <protection locked="0"/>
    </xf>
    <xf numFmtId="0" fontId="14" fillId="0" borderId="26" xfId="3" applyFont="1" applyBorder="1" applyAlignment="1" applyProtection="1">
      <alignment vertical="center"/>
      <protection locked="0"/>
    </xf>
    <xf numFmtId="0" fontId="14" fillId="0" borderId="27" xfId="3" applyFont="1" applyBorder="1" applyAlignment="1" applyProtection="1">
      <alignment vertical="center"/>
      <protection locked="0"/>
    </xf>
    <xf numFmtId="0" fontId="14" fillId="0" borderId="26" xfId="3" applyFont="1" applyBorder="1" applyAlignment="1">
      <alignment vertical="center"/>
    </xf>
    <xf numFmtId="0" fontId="14" fillId="0" borderId="15" xfId="3" applyFont="1" applyBorder="1" applyAlignment="1">
      <alignment horizontal="center" vertical="center"/>
    </xf>
    <xf numFmtId="0" fontId="14" fillId="0" borderId="5" xfId="3" applyFont="1" applyBorder="1" applyAlignment="1">
      <alignment vertical="center"/>
    </xf>
    <xf numFmtId="0" fontId="14" fillId="0" borderId="15" xfId="3" applyFont="1" applyBorder="1" applyAlignment="1">
      <alignment vertical="center"/>
    </xf>
    <xf numFmtId="0" fontId="14" fillId="0" borderId="28" xfId="3" applyFont="1" applyBorder="1" applyAlignment="1">
      <alignment horizontal="center" vertical="center"/>
    </xf>
    <xf numFmtId="0" fontId="14" fillId="0" borderId="29" xfId="3" applyFont="1" applyBorder="1" applyAlignment="1">
      <alignment vertical="center"/>
    </xf>
    <xf numFmtId="0" fontId="14" fillId="0" borderId="7" xfId="3" applyFont="1" applyBorder="1" applyAlignment="1">
      <alignment horizontal="center" vertical="center"/>
    </xf>
    <xf numFmtId="0" fontId="14" fillId="0" borderId="6" xfId="3" applyFont="1" applyBorder="1" applyAlignment="1">
      <alignment vertical="center"/>
    </xf>
    <xf numFmtId="0" fontId="14" fillId="0" borderId="7" xfId="3" applyFont="1" applyBorder="1" applyAlignment="1">
      <alignment vertical="center"/>
    </xf>
    <xf numFmtId="0" fontId="14" fillId="0" borderId="30" xfId="3" applyFont="1" applyBorder="1" applyAlignment="1">
      <alignment horizontal="center" vertical="center"/>
    </xf>
    <xf numFmtId="0" fontId="14" fillId="0" borderId="31" xfId="3" applyFont="1" applyBorder="1" applyAlignment="1" applyProtection="1">
      <alignment vertical="center"/>
      <protection locked="0"/>
    </xf>
    <xf numFmtId="0" fontId="14" fillId="0" borderId="32" xfId="3" applyFont="1" applyBorder="1" applyAlignment="1" applyProtection="1">
      <alignment vertical="center"/>
      <protection locked="0"/>
    </xf>
    <xf numFmtId="0" fontId="14" fillId="0" borderId="0" xfId="3" applyFont="1"/>
    <xf numFmtId="0" fontId="14" fillId="0" borderId="6" xfId="3" applyFont="1" applyBorder="1"/>
    <xf numFmtId="0" fontId="14" fillId="0" borderId="30" xfId="3" applyFont="1" applyBorder="1"/>
    <xf numFmtId="0" fontId="14" fillId="0" borderId="0" xfId="3" applyFont="1" applyAlignment="1">
      <alignment vertical="top"/>
    </xf>
    <xf numFmtId="0" fontId="14" fillId="0" borderId="41" xfId="3" applyFont="1" applyBorder="1" applyAlignment="1">
      <alignment vertical="top"/>
    </xf>
    <xf numFmtId="0" fontId="15" fillId="0" borderId="3" xfId="3" applyFont="1" applyBorder="1" applyAlignment="1">
      <alignment vertical="top" wrapText="1"/>
    </xf>
    <xf numFmtId="0" fontId="14" fillId="0" borderId="3" xfId="3" applyFont="1" applyBorder="1" applyAlignment="1">
      <alignment horizontal="left" vertical="top" wrapText="1"/>
    </xf>
    <xf numFmtId="0" fontId="14" fillId="0" borderId="18" xfId="3" applyFont="1" applyBorder="1" applyAlignment="1">
      <alignment horizontal="left" vertical="top" wrapText="1"/>
    </xf>
    <xf numFmtId="0" fontId="14" fillId="0" borderId="29" xfId="3" applyFont="1" applyBorder="1"/>
    <xf numFmtId="0" fontId="14" fillId="0" borderId="26" xfId="3" applyFont="1" applyBorder="1" applyAlignment="1">
      <alignment vertical="top" wrapText="1"/>
    </xf>
    <xf numFmtId="0" fontId="14" fillId="0" borderId="1" xfId="3" applyFont="1" applyBorder="1" applyAlignment="1">
      <alignment vertical="top" wrapText="1"/>
    </xf>
    <xf numFmtId="0" fontId="14" fillId="0" borderId="1" xfId="3" applyFont="1" applyBorder="1" applyAlignment="1" applyProtection="1">
      <alignment horizontal="center"/>
      <protection locked="0"/>
    </xf>
    <xf numFmtId="0" fontId="14" fillId="0" borderId="42" xfId="3" applyFont="1" applyBorder="1" applyAlignment="1">
      <alignment vertical="top" wrapText="1"/>
    </xf>
    <xf numFmtId="0" fontId="14" fillId="0" borderId="4" xfId="3" applyFont="1" applyBorder="1"/>
    <xf numFmtId="0" fontId="14" fillId="0" borderId="41" xfId="3" applyFont="1" applyBorder="1"/>
    <xf numFmtId="0" fontId="14" fillId="0" borderId="26" xfId="3" applyFont="1" applyBorder="1"/>
    <xf numFmtId="0" fontId="14" fillId="0" borderId="15" xfId="3" applyFont="1" applyBorder="1"/>
    <xf numFmtId="0" fontId="14" fillId="0" borderId="5" xfId="3" applyFont="1" applyBorder="1"/>
    <xf numFmtId="0" fontId="14" fillId="0" borderId="28" xfId="3" applyFont="1" applyBorder="1"/>
    <xf numFmtId="0" fontId="14" fillId="0" borderId="26" xfId="3" applyFont="1" applyBorder="1" applyAlignment="1">
      <alignment vertical="top"/>
    </xf>
    <xf numFmtId="0" fontId="14" fillId="0" borderId="47" xfId="3" applyFont="1" applyBorder="1" applyAlignment="1">
      <alignment horizontal="left"/>
    </xf>
    <xf numFmtId="14" fontId="14" fillId="0" borderId="21" xfId="3" applyNumberFormat="1" applyFont="1" applyBorder="1"/>
    <xf numFmtId="0" fontId="8" fillId="0" borderId="1" xfId="3" applyFont="1" applyBorder="1" applyAlignment="1">
      <alignment horizontal="left"/>
    </xf>
    <xf numFmtId="0" fontId="9" fillId="0" borderId="0" xfId="0" applyFont="1"/>
    <xf numFmtId="0" fontId="9" fillId="0" borderId="1" xfId="0" applyFont="1" applyBorder="1"/>
    <xf numFmtId="0" fontId="0" fillId="0" borderId="0" xfId="0" applyAlignment="1">
      <alignment horizontal="center" vertical="center"/>
    </xf>
    <xf numFmtId="0" fontId="9" fillId="0" borderId="0" xfId="0" applyFont="1" applyAlignment="1">
      <alignment wrapText="1"/>
    </xf>
    <xf numFmtId="0" fontId="9" fillId="0" borderId="1" xfId="0" applyFont="1" applyBorder="1" applyAlignment="1">
      <alignment wrapText="1"/>
    </xf>
    <xf numFmtId="0" fontId="17" fillId="0" borderId="0" xfId="0" applyFont="1" applyAlignment="1">
      <alignment horizontal="center" vertical="center"/>
    </xf>
    <xf numFmtId="0" fontId="5" fillId="2" borderId="0" xfId="3" applyFont="1" applyFill="1" applyAlignment="1" applyProtection="1">
      <alignment horizontal="center" vertical="center"/>
      <protection locked="0" hidden="1"/>
    </xf>
    <xf numFmtId="0" fontId="5" fillId="0" borderId="0" xfId="3" applyFont="1" applyAlignment="1" applyProtection="1">
      <alignment horizontal="center" vertical="center"/>
      <protection locked="0" hidden="1"/>
    </xf>
    <xf numFmtId="44" fontId="10" fillId="2" borderId="0" xfId="1" applyFont="1" applyFill="1" applyBorder="1" applyAlignment="1" applyProtection="1">
      <alignment horizontal="center" vertical="center"/>
      <protection locked="0" hidden="1"/>
    </xf>
    <xf numFmtId="0" fontId="11" fillId="2" borderId="0" xfId="3" applyFont="1" applyFill="1" applyAlignment="1" applyProtection="1">
      <alignment horizontal="center" vertical="center"/>
      <protection hidden="1"/>
    </xf>
    <xf numFmtId="0" fontId="5" fillId="2" borderId="0" xfId="3" applyFont="1" applyFill="1" applyAlignment="1" applyProtection="1">
      <alignment horizontal="center" vertical="center"/>
      <protection hidden="1"/>
    </xf>
    <xf numFmtId="0" fontId="7" fillId="2" borderId="0" xfId="3" applyFont="1" applyFill="1" applyAlignment="1" applyProtection="1">
      <alignment horizontal="center" vertical="center" wrapText="1"/>
      <protection locked="0" hidden="1"/>
    </xf>
    <xf numFmtId="0" fontId="7" fillId="0" borderId="0" xfId="3" applyFont="1" applyAlignment="1" applyProtection="1">
      <alignment horizontal="center" vertical="center"/>
      <protection locked="0" hidden="1"/>
    </xf>
    <xf numFmtId="0" fontId="5" fillId="2" borderId="0" xfId="3" applyFont="1" applyFill="1" applyAlignment="1" applyProtection="1">
      <alignment horizontal="center" vertical="center" wrapText="1"/>
      <protection locked="0" hidden="1"/>
    </xf>
    <xf numFmtId="0" fontId="6" fillId="2" borderId="0" xfId="3" applyFont="1" applyFill="1" applyAlignment="1" applyProtection="1">
      <alignment horizontal="center" vertical="center"/>
      <protection locked="0" hidden="1"/>
    </xf>
    <xf numFmtId="0" fontId="23" fillId="4" borderId="0" xfId="3" applyFont="1" applyFill="1" applyAlignment="1">
      <alignment horizontal="center" vertical="center"/>
    </xf>
    <xf numFmtId="164" fontId="4" fillId="3" borderId="2" xfId="7" applyNumberFormat="1" applyFont="1" applyFill="1" applyBorder="1" applyAlignment="1">
      <alignment horizontal="center" vertical="center" wrapText="1"/>
    </xf>
    <xf numFmtId="164" fontId="4" fillId="3" borderId="1" xfId="7" applyNumberFormat="1" applyFont="1" applyFill="1" applyBorder="1" applyAlignment="1">
      <alignment horizontal="center" vertical="center" wrapText="1"/>
    </xf>
    <xf numFmtId="164" fontId="4" fillId="3" borderId="3" xfId="7" applyNumberFormat="1" applyFont="1" applyFill="1" applyBorder="1" applyAlignment="1">
      <alignment horizontal="center" vertical="center" wrapText="1"/>
    </xf>
    <xf numFmtId="0" fontId="6" fillId="0" borderId="0" xfId="5" applyFont="1" applyAlignment="1">
      <alignment horizontal="center" vertical="center"/>
    </xf>
    <xf numFmtId="0" fontId="4" fillId="0" borderId="0" xfId="0" applyFont="1"/>
    <xf numFmtId="0" fontId="4" fillId="0" borderId="0" xfId="0" applyFont="1" applyAlignment="1">
      <alignment wrapText="1"/>
    </xf>
    <xf numFmtId="0" fontId="6" fillId="0" borderId="0" xfId="3" applyFont="1"/>
    <xf numFmtId="9" fontId="6" fillId="0" borderId="0" xfId="4" applyFont="1"/>
    <xf numFmtId="9" fontId="25" fillId="0" borderId="0" xfId="4" applyFont="1" applyBorder="1" applyAlignment="1"/>
    <xf numFmtId="0" fontId="25" fillId="0" borderId="0" xfId="3" applyFont="1"/>
    <xf numFmtId="0" fontId="26" fillId="0" borderId="0" xfId="3" applyFont="1" applyAlignment="1">
      <alignment horizontal="left" vertical="top" wrapText="1"/>
    </xf>
    <xf numFmtId="9" fontId="6" fillId="0" borderId="0" xfId="4" applyFont="1" applyFill="1"/>
    <xf numFmtId="9" fontId="26" fillId="0" borderId="0" xfId="4" applyFont="1" applyFill="1" applyBorder="1" applyAlignment="1"/>
    <xf numFmtId="0" fontId="26" fillId="0" borderId="0" xfId="3" applyFont="1"/>
    <xf numFmtId="0" fontId="15" fillId="0" borderId="0" xfId="3" applyFont="1" applyAlignment="1">
      <alignment wrapText="1"/>
    </xf>
    <xf numFmtId="9" fontId="15" fillId="0" borderId="0" xfId="4" applyFont="1" applyAlignment="1">
      <alignment wrapText="1"/>
    </xf>
    <xf numFmtId="0" fontId="6" fillId="0" borderId="0" xfId="3" applyFont="1" applyAlignment="1" applyProtection="1">
      <alignment horizontal="center" vertical="center"/>
      <protection locked="0" hidden="1"/>
    </xf>
    <xf numFmtId="0" fontId="25" fillId="0" borderId="0" xfId="3" applyFont="1" applyAlignment="1" applyProtection="1">
      <alignment horizontal="center" vertical="center"/>
      <protection locked="0" hidden="1"/>
    </xf>
    <xf numFmtId="2" fontId="29" fillId="0" borderId="0" xfId="3" applyNumberFormat="1" applyFont="1" applyAlignment="1" applyProtection="1">
      <alignment horizontal="center" vertical="center"/>
      <protection locked="0" hidden="1"/>
    </xf>
    <xf numFmtId="2" fontId="29" fillId="0" borderId="0" xfId="3" applyNumberFormat="1" applyFont="1" applyAlignment="1" applyProtection="1">
      <alignment horizontal="center" vertical="center" wrapText="1"/>
      <protection locked="0" hidden="1"/>
    </xf>
    <xf numFmtId="0" fontId="6" fillId="0" borderId="0" xfId="3" applyFont="1" applyProtection="1">
      <protection locked="0"/>
    </xf>
    <xf numFmtId="0" fontId="30" fillId="0" borderId="0" xfId="3" applyFont="1" applyAlignment="1">
      <alignment vertical="center" wrapText="1"/>
    </xf>
    <xf numFmtId="0" fontId="6" fillId="0" borderId="4" xfId="3" applyFont="1" applyBorder="1"/>
    <xf numFmtId="0" fontId="6" fillId="0" borderId="4" xfId="3" applyFont="1" applyBorder="1" applyAlignment="1" applyProtection="1">
      <alignment horizontal="center"/>
      <protection locked="0"/>
    </xf>
    <xf numFmtId="0" fontId="6" fillId="0" borderId="42" xfId="3" applyFont="1" applyBorder="1"/>
    <xf numFmtId="0" fontId="6" fillId="0" borderId="41" xfId="3" applyFont="1" applyBorder="1"/>
    <xf numFmtId="0" fontId="6" fillId="0" borderId="29" xfId="3" applyFont="1" applyBorder="1"/>
    <xf numFmtId="0" fontId="6" fillId="0" borderId="2" xfId="3" applyFont="1" applyBorder="1"/>
    <xf numFmtId="0" fontId="6" fillId="0" borderId="2" xfId="3" applyFont="1" applyBorder="1" applyAlignment="1" applyProtection="1">
      <alignment horizontal="center"/>
      <protection locked="0"/>
    </xf>
    <xf numFmtId="0" fontId="6" fillId="0" borderId="9" xfId="3" applyFont="1" applyBorder="1"/>
    <xf numFmtId="0" fontId="6" fillId="0" borderId="3" xfId="3" applyFont="1" applyBorder="1" applyAlignment="1" applyProtection="1">
      <alignment horizontal="center"/>
      <protection locked="0"/>
    </xf>
    <xf numFmtId="0" fontId="6" fillId="0" borderId="10" xfId="3" applyFont="1" applyBorder="1"/>
    <xf numFmtId="0" fontId="6" fillId="0" borderId="7" xfId="3" applyFont="1" applyBorder="1"/>
    <xf numFmtId="0" fontId="32" fillId="0" borderId="39" xfId="3" applyFont="1" applyBorder="1" applyAlignment="1">
      <alignment horizontal="center"/>
    </xf>
    <xf numFmtId="0" fontId="20" fillId="0" borderId="45" xfId="3" applyFont="1" applyBorder="1"/>
    <xf numFmtId="166" fontId="4" fillId="0" borderId="1" xfId="7" applyFont="1" applyFill="1" applyBorder="1" applyAlignment="1">
      <alignment horizontal="center" vertical="center" wrapText="1"/>
    </xf>
    <xf numFmtId="164" fontId="4" fillId="3" borderId="15" xfId="7" applyNumberFormat="1" applyFont="1" applyFill="1" applyBorder="1" applyAlignment="1">
      <alignment horizontal="center" vertical="center" wrapText="1"/>
    </xf>
    <xf numFmtId="0" fontId="0" fillId="0" borderId="0" xfId="0" applyAlignment="1">
      <alignment vertical="center"/>
    </xf>
    <xf numFmtId="0" fontId="21" fillId="0" borderId="0" xfId="0" applyFont="1" applyAlignment="1">
      <alignment vertical="center"/>
    </xf>
    <xf numFmtId="0" fontId="0" fillId="2" borderId="1" xfId="0" applyFill="1" applyBorder="1" applyAlignment="1">
      <alignment horizontal="center" vertical="center" wrapText="1"/>
    </xf>
    <xf numFmtId="0" fontId="12" fillId="0" borderId="0" xfId="0" applyFont="1" applyAlignment="1">
      <alignment horizontal="center" vertical="center"/>
    </xf>
    <xf numFmtId="0" fontId="12" fillId="0" borderId="0" xfId="0" applyFont="1" applyAlignment="1">
      <alignment vertical="center"/>
    </xf>
    <xf numFmtId="0" fontId="0" fillId="0" borderId="1" xfId="0" applyBorder="1" applyAlignment="1">
      <alignment vertical="center" wrapText="1"/>
    </xf>
    <xf numFmtId="0" fontId="0" fillId="0" borderId="0" xfId="0" applyAlignment="1">
      <alignment vertical="center" wrapText="1"/>
    </xf>
    <xf numFmtId="0" fontId="0" fillId="0" borderId="1" xfId="0" applyBorder="1"/>
    <xf numFmtId="0" fontId="6" fillId="0" borderId="0" xfId="3" applyFont="1" applyAlignment="1" applyProtection="1">
      <alignment vertical="center"/>
      <protection locked="0" hidden="1"/>
    </xf>
    <xf numFmtId="0" fontId="7" fillId="0" borderId="0" xfId="3" applyFont="1" applyAlignment="1" applyProtection="1">
      <alignment vertical="center"/>
      <protection hidden="1"/>
    </xf>
    <xf numFmtId="0" fontId="7" fillId="0" borderId="0" xfId="3" applyFont="1" applyAlignment="1" applyProtection="1">
      <alignment vertical="center" wrapText="1"/>
      <protection hidden="1"/>
    </xf>
    <xf numFmtId="0" fontId="7" fillId="0" borderId="0" xfId="3" applyFont="1" applyAlignment="1" applyProtection="1">
      <alignment horizontal="left" vertical="center" wrapText="1"/>
      <protection hidden="1"/>
    </xf>
    <xf numFmtId="9" fontId="35" fillId="4" borderId="1" xfId="4" applyFont="1" applyFill="1" applyBorder="1" applyAlignment="1">
      <alignment horizontal="center" vertical="center"/>
    </xf>
    <xf numFmtId="0" fontId="21" fillId="0" borderId="0" xfId="3" applyFont="1"/>
    <xf numFmtId="0" fontId="21" fillId="0" borderId="0" xfId="3" applyFont="1" applyAlignment="1" applyProtection="1">
      <alignment vertical="center"/>
      <protection hidden="1"/>
    </xf>
    <xf numFmtId="0" fontId="21" fillId="0" borderId="0" xfId="3" applyFont="1" applyAlignment="1" applyProtection="1">
      <alignment vertical="center" wrapText="1"/>
      <protection hidden="1"/>
    </xf>
    <xf numFmtId="0" fontId="37" fillId="0" borderId="16" xfId="0" applyFont="1" applyBorder="1" applyAlignment="1">
      <alignment vertical="center"/>
    </xf>
    <xf numFmtId="0" fontId="35" fillId="4" borderId="1" xfId="3" applyFont="1" applyFill="1" applyBorder="1" applyAlignment="1" applyProtection="1">
      <alignment horizontal="center" vertical="center"/>
      <protection hidden="1"/>
    </xf>
    <xf numFmtId="0" fontId="35" fillId="4" borderId="1" xfId="3" applyFont="1" applyFill="1" applyBorder="1" applyAlignment="1" applyProtection="1">
      <alignment horizontal="center" vertical="center" wrapText="1"/>
      <protection hidden="1"/>
    </xf>
    <xf numFmtId="0" fontId="35" fillId="4" borderId="3" xfId="3" applyFont="1" applyFill="1" applyBorder="1" applyAlignment="1" applyProtection="1">
      <alignment horizontal="center" vertical="center"/>
      <protection locked="0" hidden="1"/>
    </xf>
    <xf numFmtId="0" fontId="21" fillId="0" borderId="0" xfId="3" applyFont="1" applyAlignment="1" applyProtection="1">
      <alignment horizontal="center" vertical="center"/>
      <protection locked="0" hidden="1"/>
    </xf>
    <xf numFmtId="0" fontId="35" fillId="4" borderId="1" xfId="3" applyFont="1" applyFill="1" applyBorder="1" applyAlignment="1" applyProtection="1">
      <alignment horizontal="center" vertical="center"/>
      <protection locked="0" hidden="1"/>
    </xf>
    <xf numFmtId="0" fontId="35" fillId="4" borderId="1" xfId="3" applyFont="1" applyFill="1" applyBorder="1" applyAlignment="1" applyProtection="1">
      <alignment horizontal="center" vertical="center" textRotation="90"/>
      <protection locked="0" hidden="1"/>
    </xf>
    <xf numFmtId="0" fontId="35" fillId="4" borderId="1" xfId="3" applyFont="1" applyFill="1" applyBorder="1" applyAlignment="1" applyProtection="1">
      <alignment horizontal="center" vertical="center" wrapText="1"/>
      <protection locked="0" hidden="1"/>
    </xf>
    <xf numFmtId="0" fontId="39" fillId="4" borderId="1" xfId="3" applyFont="1" applyFill="1" applyBorder="1" applyAlignment="1">
      <alignment horizontal="center" vertical="center"/>
    </xf>
    <xf numFmtId="0" fontId="40" fillId="4" borderId="19" xfId="3" applyFont="1" applyFill="1" applyBorder="1" applyAlignment="1">
      <alignment horizontal="center" vertical="center"/>
    </xf>
    <xf numFmtId="0" fontId="40" fillId="4" borderId="39" xfId="3" applyFont="1" applyFill="1" applyBorder="1" applyAlignment="1">
      <alignment horizontal="center" vertical="center"/>
    </xf>
    <xf numFmtId="0" fontId="40" fillId="4" borderId="46" xfId="3" applyFont="1" applyFill="1" applyBorder="1" applyAlignment="1">
      <alignment horizontal="center" vertical="center"/>
    </xf>
    <xf numFmtId="0" fontId="40" fillId="4" borderId="15" xfId="3" applyFont="1" applyFill="1" applyBorder="1" applyAlignment="1">
      <alignment horizontal="center" vertical="center" wrapText="1"/>
    </xf>
    <xf numFmtId="0" fontId="40" fillId="4" borderId="47" xfId="3" applyFont="1" applyFill="1" applyBorder="1" applyAlignment="1">
      <alignment horizontal="center" vertical="center"/>
    </xf>
    <xf numFmtId="0" fontId="35" fillId="4" borderId="1" xfId="0" applyFont="1" applyFill="1" applyBorder="1" applyAlignment="1">
      <alignment horizontal="center"/>
    </xf>
    <xf numFmtId="0" fontId="39" fillId="4" borderId="1" xfId="5" applyFont="1" applyFill="1" applyBorder="1" applyAlignment="1">
      <alignment vertical="center"/>
    </xf>
    <xf numFmtId="0" fontId="42" fillId="0" borderId="0" xfId="5" applyFont="1" applyAlignment="1">
      <alignment horizontal="center" vertical="center"/>
    </xf>
    <xf numFmtId="0" fontId="43" fillId="4" borderId="3" xfId="5" applyFont="1" applyFill="1" applyBorder="1" applyAlignment="1">
      <alignment horizontal="center" vertical="center" wrapText="1"/>
    </xf>
    <xf numFmtId="0" fontId="43" fillId="4" borderId="1" xfId="5" applyFont="1" applyFill="1" applyBorder="1" applyAlignment="1">
      <alignment horizontal="center" vertical="center" wrapText="1"/>
    </xf>
    <xf numFmtId="0" fontId="39" fillId="4" borderId="1" xfId="5" applyFont="1" applyFill="1" applyBorder="1" applyAlignment="1">
      <alignment horizontal="center" vertical="center"/>
    </xf>
    <xf numFmtId="0" fontId="39" fillId="4" borderId="3" xfId="5" applyFont="1" applyFill="1" applyBorder="1" applyAlignment="1">
      <alignment horizontal="center" vertical="center"/>
    </xf>
    <xf numFmtId="0" fontId="21" fillId="0" borderId="0" xfId="0" applyFont="1" applyAlignment="1">
      <alignment horizontal="center" vertical="center"/>
    </xf>
    <xf numFmtId="0" fontId="44" fillId="0" borderId="0" xfId="0" applyFont="1" applyAlignment="1">
      <alignment vertical="center"/>
    </xf>
    <xf numFmtId="0" fontId="4" fillId="2" borderId="1" xfId="3" applyFont="1" applyFill="1" applyBorder="1" applyAlignment="1" applyProtection="1">
      <alignment horizontal="center" vertical="center"/>
      <protection locked="0" hidden="1"/>
    </xf>
    <xf numFmtId="0" fontId="4" fillId="2" borderId="1" xfId="3" applyFont="1" applyFill="1" applyBorder="1" applyAlignment="1" applyProtection="1">
      <alignment horizontal="center" vertical="center" wrapText="1"/>
      <protection locked="0" hidden="1"/>
    </xf>
    <xf numFmtId="0" fontId="4" fillId="2" borderId="1" xfId="3" applyFont="1" applyFill="1" applyBorder="1" applyAlignment="1" applyProtection="1">
      <alignment horizontal="center" vertical="center" wrapText="1"/>
      <protection hidden="1"/>
    </xf>
    <xf numFmtId="0" fontId="4" fillId="0" borderId="3" xfId="3" applyFont="1" applyBorder="1" applyAlignment="1" applyProtection="1">
      <alignment horizontal="center" vertical="center" wrapText="1"/>
      <protection locked="0" hidden="1"/>
    </xf>
    <xf numFmtId="0" fontId="4" fillId="0" borderId="1" xfId="3" applyFont="1" applyBorder="1" applyAlignment="1" applyProtection="1">
      <alignment horizontal="center" vertical="center" wrapText="1"/>
      <protection hidden="1"/>
    </xf>
    <xf numFmtId="2" fontId="4" fillId="0" borderId="1" xfId="3" applyNumberFormat="1" applyFont="1" applyBorder="1" applyAlignment="1" applyProtection="1">
      <alignment horizontal="center" vertical="center" wrapText="1"/>
      <protection hidden="1"/>
    </xf>
    <xf numFmtId="0" fontId="9" fillId="0" borderId="1" xfId="5" applyFont="1" applyBorder="1" applyAlignment="1">
      <alignment horizontal="center" vertical="center" wrapText="1"/>
    </xf>
    <xf numFmtId="0" fontId="9" fillId="0" borderId="2" xfId="5" applyFont="1" applyBorder="1" applyAlignment="1">
      <alignment horizontal="center" vertical="center" wrapText="1"/>
    </xf>
    <xf numFmtId="164" fontId="9" fillId="0" borderId="2" xfId="5" applyNumberFormat="1" applyFont="1" applyBorder="1" applyAlignment="1">
      <alignment horizontal="center" vertical="center" wrapText="1"/>
    </xf>
    <xf numFmtId="164" fontId="9" fillId="0" borderId="1" xfId="5" applyNumberFormat="1" applyFont="1" applyBorder="1" applyAlignment="1">
      <alignment horizontal="center" vertical="center" wrapText="1"/>
    </xf>
    <xf numFmtId="0" fontId="0" fillId="0" borderId="1" xfId="0" applyBorder="1" applyAlignment="1">
      <alignment horizontal="center" vertical="center"/>
    </xf>
    <xf numFmtId="0" fontId="35" fillId="4" borderId="1" xfId="0" applyFont="1" applyFill="1" applyBorder="1" applyAlignment="1">
      <alignment horizontal="center" vertical="center"/>
    </xf>
    <xf numFmtId="0" fontId="35" fillId="4" borderId="1" xfId="3" applyFont="1" applyFill="1" applyBorder="1" applyAlignment="1">
      <alignment horizontal="center" vertical="center"/>
    </xf>
    <xf numFmtId="0" fontId="35" fillId="4" borderId="14" xfId="3" applyFont="1" applyFill="1" applyBorder="1" applyAlignment="1">
      <alignment horizontal="center" vertical="center"/>
    </xf>
    <xf numFmtId="0" fontId="4" fillId="2" borderId="1" xfId="3" applyFont="1" applyFill="1" applyBorder="1" applyAlignment="1" applyProtection="1">
      <alignment horizontal="center" vertical="center"/>
      <protection hidden="1"/>
    </xf>
    <xf numFmtId="0" fontId="14" fillId="0" borderId="2" xfId="3" applyFont="1" applyBorder="1" applyAlignment="1">
      <alignment vertical="top" wrapText="1"/>
    </xf>
    <xf numFmtId="0" fontId="14" fillId="0" borderId="2" xfId="3" applyFont="1" applyBorder="1" applyAlignment="1" applyProtection="1">
      <alignment horizontal="center"/>
      <protection locked="0"/>
    </xf>
    <xf numFmtId="0" fontId="40" fillId="4" borderId="13" xfId="3" applyFont="1" applyFill="1" applyBorder="1" applyAlignment="1">
      <alignment horizontal="center" vertical="center"/>
    </xf>
    <xf numFmtId="0" fontId="40" fillId="4" borderId="35" xfId="3" applyFont="1" applyFill="1" applyBorder="1" applyAlignment="1">
      <alignment horizontal="center" vertical="center"/>
    </xf>
    <xf numFmtId="0" fontId="14" fillId="0" borderId="39" xfId="3" applyFont="1" applyBorder="1" applyAlignment="1">
      <alignment vertical="top" wrapText="1"/>
    </xf>
    <xf numFmtId="0" fontId="14" fillId="0" borderId="3" xfId="3" applyFont="1" applyBorder="1" applyAlignment="1">
      <alignment vertical="top" wrapText="1"/>
    </xf>
    <xf numFmtId="0" fontId="14" fillId="0" borderId="3" xfId="3" applyFont="1" applyBorder="1" applyAlignment="1" applyProtection="1">
      <alignment horizontal="center"/>
      <protection locked="0"/>
    </xf>
    <xf numFmtId="0" fontId="14" fillId="0" borderId="39" xfId="3" applyFont="1" applyBorder="1" applyAlignment="1">
      <alignment vertical="top"/>
    </xf>
    <xf numFmtId="0" fontId="14" fillId="0" borderId="4" xfId="3" applyFont="1" applyBorder="1" applyAlignment="1">
      <alignment vertical="top" wrapText="1"/>
    </xf>
    <xf numFmtId="0" fontId="14" fillId="0" borderId="4" xfId="3" applyFont="1" applyBorder="1" applyAlignment="1" applyProtection="1">
      <alignment horizontal="center"/>
      <protection locked="0"/>
    </xf>
    <xf numFmtId="0" fontId="35" fillId="4" borderId="1" xfId="0" applyFont="1" applyFill="1" applyBorder="1" applyAlignment="1">
      <alignment horizontal="center" vertical="center" wrapText="1"/>
    </xf>
    <xf numFmtId="0" fontId="21" fillId="0" borderId="1" xfId="0" applyFont="1" applyBorder="1" applyAlignment="1">
      <alignment horizontal="center" vertical="center"/>
    </xf>
    <xf numFmtId="0" fontId="35" fillId="4" borderId="3" xfId="0" applyFont="1" applyFill="1" applyBorder="1" applyAlignment="1">
      <alignment horizontal="center" vertical="center"/>
    </xf>
    <xf numFmtId="0" fontId="34" fillId="0" borderId="14" xfId="10" quotePrefix="1" applyBorder="1" applyAlignment="1" applyProtection="1">
      <alignment horizontal="center" vertical="center"/>
    </xf>
    <xf numFmtId="0" fontId="34" fillId="0" borderId="5" xfId="10" quotePrefix="1" applyBorder="1" applyAlignment="1" applyProtection="1">
      <alignment horizontal="center" vertical="center"/>
    </xf>
    <xf numFmtId="0" fontId="34" fillId="0" borderId="15" xfId="10" quotePrefix="1" applyBorder="1" applyAlignment="1" applyProtection="1">
      <alignment horizontal="center" vertical="center"/>
    </xf>
    <xf numFmtId="0" fontId="35" fillId="4" borderId="1" xfId="0" applyFont="1" applyFill="1" applyBorder="1" applyAlignment="1">
      <alignment horizontal="center" vertical="center"/>
    </xf>
    <xf numFmtId="0" fontId="34" fillId="0" borderId="1" xfId="10" applyBorder="1" applyAlignment="1" applyProtection="1">
      <alignment horizontal="center" vertical="center"/>
    </xf>
    <xf numFmtId="0" fontId="34" fillId="0" borderId="1" xfId="10" quotePrefix="1" applyBorder="1" applyAlignment="1" applyProtection="1">
      <alignment horizontal="center" vertical="center"/>
    </xf>
    <xf numFmtId="0" fontId="35" fillId="4" borderId="1" xfId="3" applyFont="1" applyFill="1" applyBorder="1" applyAlignment="1">
      <alignment horizontal="center" vertical="center"/>
    </xf>
    <xf numFmtId="1" fontId="7" fillId="0" borderId="1" xfId="3" applyNumberFormat="1" applyFont="1" applyBorder="1" applyAlignment="1">
      <alignment horizontal="center" vertical="center" wrapText="1"/>
    </xf>
    <xf numFmtId="0" fontId="35" fillId="4" borderId="14" xfId="3" applyFont="1" applyFill="1" applyBorder="1" applyAlignment="1">
      <alignment horizontal="center" vertical="center"/>
    </xf>
    <xf numFmtId="1" fontId="7" fillId="0" borderId="17" xfId="3" applyNumberFormat="1" applyFont="1" applyBorder="1" applyAlignment="1">
      <alignment horizontal="center" vertical="center" wrapText="1"/>
    </xf>
    <xf numFmtId="1" fontId="7" fillId="0" borderId="16" xfId="3" applyNumberFormat="1" applyFont="1" applyBorder="1" applyAlignment="1">
      <alignment horizontal="center" vertical="center" wrapText="1"/>
    </xf>
    <xf numFmtId="1" fontId="7" fillId="0" borderId="18" xfId="3" applyNumberFormat="1" applyFont="1" applyBorder="1" applyAlignment="1">
      <alignment horizontal="center" vertical="center" wrapText="1"/>
    </xf>
    <xf numFmtId="1" fontId="7" fillId="0" borderId="9" xfId="3" applyNumberFormat="1" applyFont="1" applyBorder="1" applyAlignment="1">
      <alignment horizontal="center" vertical="center" wrapText="1"/>
    </xf>
    <xf numFmtId="1" fontId="7" fillId="0" borderId="0" xfId="3" applyNumberFormat="1" applyFont="1" applyAlignment="1">
      <alignment horizontal="center" vertical="center" wrapText="1"/>
    </xf>
    <xf numFmtId="1" fontId="7" fillId="0" borderId="10" xfId="3" applyNumberFormat="1" applyFont="1" applyBorder="1" applyAlignment="1">
      <alignment horizontal="center" vertical="center" wrapText="1"/>
    </xf>
    <xf numFmtId="1" fontId="7" fillId="0" borderId="8" xfId="3" applyNumberFormat="1" applyFont="1" applyBorder="1" applyAlignment="1">
      <alignment horizontal="center" vertical="center" wrapText="1"/>
    </xf>
    <xf numFmtId="1" fontId="7" fillId="0" borderId="6" xfId="3" applyNumberFormat="1" applyFont="1" applyBorder="1" applyAlignment="1">
      <alignment horizontal="center" vertical="center" wrapText="1"/>
    </xf>
    <xf numFmtId="1" fontId="7" fillId="0" borderId="7" xfId="3" applyNumberFormat="1" applyFont="1" applyBorder="1" applyAlignment="1">
      <alignment horizontal="center" vertical="center" wrapText="1"/>
    </xf>
    <xf numFmtId="1" fontId="7" fillId="0" borderId="14" xfId="3" applyNumberFormat="1" applyFont="1" applyBorder="1" applyAlignment="1">
      <alignment horizontal="center" vertical="center" wrapText="1"/>
    </xf>
    <xf numFmtId="1" fontId="7" fillId="0" borderId="5" xfId="3" applyNumberFormat="1" applyFont="1" applyBorder="1" applyAlignment="1">
      <alignment horizontal="center" vertical="center" wrapText="1"/>
    </xf>
    <xf numFmtId="1" fontId="7" fillId="0" borderId="15" xfId="3" applyNumberFormat="1" applyFont="1" applyBorder="1" applyAlignment="1">
      <alignment horizontal="center" vertical="center" wrapText="1"/>
    </xf>
    <xf numFmtId="0" fontId="7" fillId="0" borderId="1" xfId="3" applyFont="1" applyBorder="1" applyAlignment="1">
      <alignment horizontal="center" vertical="center" wrapText="1"/>
    </xf>
    <xf numFmtId="0" fontId="36" fillId="4" borderId="1" xfId="3" applyFont="1" applyFill="1" applyBorder="1" applyAlignment="1">
      <alignment horizontal="center" vertical="center"/>
    </xf>
    <xf numFmtId="0" fontId="35" fillId="4" borderId="1" xfId="3" applyFont="1" applyFill="1" applyBorder="1" applyAlignment="1">
      <alignment horizontal="center" vertical="center" wrapText="1"/>
    </xf>
    <xf numFmtId="0" fontId="7" fillId="0" borderId="1" xfId="3" applyFont="1" applyBorder="1" applyAlignment="1">
      <alignment horizontal="center" vertical="top" wrapText="1"/>
    </xf>
    <xf numFmtId="0" fontId="12" fillId="0" borderId="15" xfId="3" applyFont="1" applyBorder="1" applyAlignment="1" applyProtection="1">
      <alignment horizontal="center" vertical="center" wrapText="1"/>
      <protection hidden="1"/>
    </xf>
    <xf numFmtId="0" fontId="12" fillId="0" borderId="1" xfId="3" applyFont="1" applyBorder="1" applyAlignment="1" applyProtection="1">
      <alignment horizontal="center" vertical="center" wrapText="1"/>
      <protection hidden="1"/>
    </xf>
    <xf numFmtId="0" fontId="7" fillId="0" borderId="4" xfId="3" applyFont="1" applyBorder="1" applyAlignment="1">
      <alignment horizontal="center" vertical="center" wrapText="1"/>
    </xf>
    <xf numFmtId="0" fontId="12" fillId="0" borderId="17" xfId="3" applyFont="1" applyBorder="1" applyAlignment="1" applyProtection="1">
      <alignment horizontal="center" vertical="center" wrapText="1"/>
      <protection hidden="1"/>
    </xf>
    <xf numFmtId="0" fontId="12" fillId="0" borderId="18" xfId="3" applyFont="1" applyBorder="1" applyAlignment="1" applyProtection="1">
      <alignment horizontal="center" vertical="center" wrapText="1"/>
      <protection hidden="1"/>
    </xf>
    <xf numFmtId="0" fontId="12" fillId="0" borderId="9" xfId="3" applyFont="1" applyBorder="1" applyAlignment="1" applyProtection="1">
      <alignment horizontal="center" vertical="center" wrapText="1"/>
      <protection hidden="1"/>
    </xf>
    <xf numFmtId="0" fontId="12" fillId="0" borderId="10" xfId="3" applyFont="1" applyBorder="1" applyAlignment="1" applyProtection="1">
      <alignment horizontal="center" vertical="center" wrapText="1"/>
      <protection hidden="1"/>
    </xf>
    <xf numFmtId="0" fontId="12" fillId="0" borderId="8" xfId="3" applyFont="1" applyBorder="1" applyAlignment="1" applyProtection="1">
      <alignment horizontal="center" vertical="center" wrapText="1"/>
      <protection hidden="1"/>
    </xf>
    <xf numFmtId="0" fontId="12" fillId="0" borderId="7" xfId="3" applyFont="1" applyBorder="1" applyAlignment="1" applyProtection="1">
      <alignment horizontal="center" vertical="center" wrapText="1"/>
      <protection hidden="1"/>
    </xf>
    <xf numFmtId="0" fontId="35" fillId="4" borderId="15" xfId="3" applyFont="1" applyFill="1" applyBorder="1" applyAlignment="1">
      <alignment horizontal="center" vertical="center" wrapText="1"/>
    </xf>
    <xf numFmtId="0" fontId="7" fillId="0" borderId="8" xfId="3" applyFont="1" applyBorder="1" applyAlignment="1">
      <alignment horizontal="center" vertical="center"/>
    </xf>
    <xf numFmtId="0" fontId="7" fillId="0" borderId="6" xfId="3" applyFont="1" applyBorder="1" applyAlignment="1">
      <alignment horizontal="center" vertical="center"/>
    </xf>
    <xf numFmtId="0" fontId="26" fillId="0" borderId="0" xfId="3" applyFont="1" applyAlignment="1">
      <alignment horizontal="center"/>
    </xf>
    <xf numFmtId="15" fontId="7" fillId="2" borderId="14" xfId="3" applyNumberFormat="1" applyFont="1" applyFill="1" applyBorder="1" applyAlignment="1">
      <alignment horizontal="center" vertical="center" wrapText="1"/>
    </xf>
    <xf numFmtId="15" fontId="7" fillId="2" borderId="5" xfId="3" applyNumberFormat="1" applyFont="1" applyFill="1" applyBorder="1" applyAlignment="1">
      <alignment horizontal="center" vertical="center" wrapText="1"/>
    </xf>
    <xf numFmtId="15" fontId="7" fillId="2" borderId="15" xfId="3" applyNumberFormat="1" applyFont="1" applyFill="1" applyBorder="1" applyAlignment="1">
      <alignment horizontal="center" vertical="center" wrapText="1"/>
    </xf>
    <xf numFmtId="0" fontId="7" fillId="0" borderId="17" xfId="3" applyFont="1" applyBorder="1" applyAlignment="1">
      <alignment horizontal="center" vertical="center" wrapText="1"/>
    </xf>
    <xf numFmtId="0" fontId="7" fillId="0" borderId="16" xfId="3" applyFont="1" applyBorder="1" applyAlignment="1">
      <alignment horizontal="center" vertical="center" wrapText="1"/>
    </xf>
    <xf numFmtId="0" fontId="7" fillId="0" borderId="18" xfId="3" applyFont="1" applyBorder="1" applyAlignment="1">
      <alignment horizontal="center" vertical="center" wrapText="1"/>
    </xf>
    <xf numFmtId="0" fontId="7" fillId="0" borderId="9" xfId="3" applyFont="1" applyBorder="1" applyAlignment="1">
      <alignment horizontal="center" vertical="center" wrapText="1"/>
    </xf>
    <xf numFmtId="0" fontId="7" fillId="0" borderId="0" xfId="3" applyFont="1" applyAlignment="1">
      <alignment horizontal="center" vertical="center" wrapText="1"/>
    </xf>
    <xf numFmtId="0" fontId="7" fillId="0" borderId="10" xfId="3" applyFont="1" applyBorder="1" applyAlignment="1">
      <alignment horizontal="center" vertical="center" wrapText="1"/>
    </xf>
    <xf numFmtId="0" fontId="7" fillId="0" borderId="8" xfId="3" applyFont="1" applyBorder="1" applyAlignment="1">
      <alignment horizontal="center" vertical="center" wrapText="1"/>
    </xf>
    <xf numFmtId="0" fontId="7" fillId="0" borderId="6" xfId="3" applyFont="1" applyBorder="1" applyAlignment="1">
      <alignment horizontal="center" vertical="center" wrapText="1"/>
    </xf>
    <xf numFmtId="0" fontId="7" fillId="0" borderId="7" xfId="3" applyFont="1" applyBorder="1" applyAlignment="1">
      <alignment horizontal="center" vertical="center" wrapText="1"/>
    </xf>
    <xf numFmtId="0" fontId="35" fillId="4" borderId="17" xfId="3" applyFont="1" applyFill="1" applyBorder="1" applyAlignment="1">
      <alignment horizontal="center" vertical="center"/>
    </xf>
    <xf numFmtId="0" fontId="35" fillId="4" borderId="16" xfId="3" applyFont="1" applyFill="1" applyBorder="1" applyAlignment="1">
      <alignment horizontal="center" vertical="center"/>
    </xf>
    <xf numFmtId="0" fontId="35" fillId="4" borderId="18" xfId="3" applyFont="1" applyFill="1" applyBorder="1" applyAlignment="1">
      <alignment horizontal="center" vertical="center"/>
    </xf>
    <xf numFmtId="0" fontId="35" fillId="4" borderId="9" xfId="3" applyFont="1" applyFill="1" applyBorder="1" applyAlignment="1">
      <alignment horizontal="center" vertical="center"/>
    </xf>
    <xf numFmtId="0" fontId="35" fillId="4" borderId="0" xfId="3" applyFont="1" applyFill="1" applyAlignment="1">
      <alignment horizontal="center" vertical="center"/>
    </xf>
    <xf numFmtId="0" fontId="35" fillId="4" borderId="10" xfId="3" applyFont="1" applyFill="1" applyBorder="1" applyAlignment="1">
      <alignment horizontal="center" vertical="center"/>
    </xf>
    <xf numFmtId="0" fontId="9" fillId="0" borderId="9" xfId="3" applyFont="1" applyBorder="1" applyAlignment="1" applyProtection="1">
      <alignment horizontal="center" vertical="center" wrapText="1"/>
      <protection hidden="1"/>
    </xf>
    <xf numFmtId="0" fontId="9" fillId="0" borderId="0" xfId="3" applyFont="1" applyAlignment="1" applyProtection="1">
      <alignment horizontal="center" vertical="center" wrapText="1"/>
      <protection hidden="1"/>
    </xf>
    <xf numFmtId="0" fontId="9" fillId="0" borderId="10" xfId="3" applyFont="1" applyBorder="1" applyAlignment="1" applyProtection="1">
      <alignment horizontal="center" vertical="center" wrapText="1"/>
      <protection hidden="1"/>
    </xf>
    <xf numFmtId="0" fontId="9" fillId="0" borderId="8" xfId="3" applyFont="1" applyBorder="1" applyAlignment="1" applyProtection="1">
      <alignment horizontal="center" vertical="center" wrapText="1"/>
      <protection hidden="1"/>
    </xf>
    <xf numFmtId="0" fontId="9" fillId="0" borderId="6" xfId="3" applyFont="1" applyBorder="1" applyAlignment="1" applyProtection="1">
      <alignment horizontal="center" vertical="center" wrapText="1"/>
      <protection hidden="1"/>
    </xf>
    <xf numFmtId="0" fontId="9" fillId="0" borderId="7" xfId="3" applyFont="1" applyBorder="1" applyAlignment="1" applyProtection="1">
      <alignment horizontal="center" vertical="center" wrapText="1"/>
      <protection hidden="1"/>
    </xf>
    <xf numFmtId="0" fontId="35" fillId="4" borderId="1" xfId="3" applyFont="1" applyFill="1" applyBorder="1" applyAlignment="1" applyProtection="1">
      <alignment horizontal="center" vertical="center" wrapText="1"/>
      <protection hidden="1"/>
    </xf>
    <xf numFmtId="0" fontId="4" fillId="0" borderId="17" xfId="3" applyFont="1" applyBorder="1" applyAlignment="1" applyProtection="1">
      <alignment horizontal="center" vertical="center" wrapText="1"/>
      <protection hidden="1"/>
    </xf>
    <xf numFmtId="0" fontId="4" fillId="0" borderId="16" xfId="3" applyFont="1" applyBorder="1" applyAlignment="1" applyProtection="1">
      <alignment horizontal="center" vertical="center" wrapText="1"/>
      <protection hidden="1"/>
    </xf>
    <xf numFmtId="0" fontId="4" fillId="0" borderId="8" xfId="3" applyFont="1" applyBorder="1" applyAlignment="1" applyProtection="1">
      <alignment horizontal="center" vertical="center" wrapText="1"/>
      <protection hidden="1"/>
    </xf>
    <xf numFmtId="0" fontId="4" fillId="0" borderId="6" xfId="3" applyFont="1" applyBorder="1" applyAlignment="1" applyProtection="1">
      <alignment horizontal="center" vertical="center" wrapText="1"/>
      <protection hidden="1"/>
    </xf>
    <xf numFmtId="0" fontId="17" fillId="0" borderId="14" xfId="3" applyFont="1" applyBorder="1" applyAlignment="1" applyProtection="1">
      <alignment vertical="center" wrapText="1"/>
      <protection hidden="1"/>
    </xf>
    <xf numFmtId="0" fontId="17" fillId="0" borderId="5" xfId="3" applyFont="1" applyBorder="1" applyAlignment="1" applyProtection="1">
      <alignment vertical="center" wrapText="1"/>
      <protection hidden="1"/>
    </xf>
    <xf numFmtId="0" fontId="17" fillId="0" borderId="15" xfId="3" applyFont="1" applyBorder="1" applyAlignment="1" applyProtection="1">
      <alignment vertical="center" wrapText="1"/>
      <protection hidden="1"/>
    </xf>
    <xf numFmtId="0" fontId="35" fillId="4" borderId="14" xfId="3" applyFont="1" applyFill="1" applyBorder="1" applyAlignment="1" applyProtection="1">
      <alignment horizontal="left" vertical="center" wrapText="1"/>
      <protection hidden="1"/>
    </xf>
    <xf numFmtId="0" fontId="35" fillId="4" borderId="5" xfId="3" applyFont="1" applyFill="1" applyBorder="1" applyAlignment="1" applyProtection="1">
      <alignment horizontal="left" vertical="center" wrapText="1"/>
      <protection hidden="1"/>
    </xf>
    <xf numFmtId="0" fontId="35" fillId="4" borderId="15" xfId="3" applyFont="1" applyFill="1" applyBorder="1" applyAlignment="1" applyProtection="1">
      <alignment horizontal="left" vertical="center" wrapText="1"/>
      <protection hidden="1"/>
    </xf>
    <xf numFmtId="49" fontId="35" fillId="4" borderId="2" xfId="3" applyNumberFormat="1" applyFont="1" applyFill="1" applyBorder="1" applyAlignment="1" applyProtection="1">
      <alignment horizontal="left" vertical="center" wrapText="1"/>
      <protection hidden="1"/>
    </xf>
    <xf numFmtId="0" fontId="36" fillId="4" borderId="1" xfId="3" applyFont="1" applyFill="1" applyBorder="1" applyAlignment="1" applyProtection="1">
      <alignment horizontal="center" vertical="center" wrapText="1"/>
      <protection hidden="1"/>
    </xf>
    <xf numFmtId="0" fontId="4" fillId="0" borderId="14" xfId="3" applyFont="1" applyBorder="1" applyAlignment="1" applyProtection="1">
      <alignment horizontal="center" vertical="center" wrapText="1"/>
      <protection hidden="1"/>
    </xf>
    <xf numFmtId="0" fontId="4" fillId="0" borderId="5" xfId="3" applyFont="1" applyBorder="1" applyAlignment="1" applyProtection="1">
      <alignment horizontal="center" vertical="center" wrapText="1"/>
      <protection hidden="1"/>
    </xf>
    <xf numFmtId="0" fontId="4" fillId="0" borderId="15" xfId="3" applyFont="1" applyBorder="1" applyAlignment="1" applyProtection="1">
      <alignment horizontal="center" vertical="center" wrapText="1"/>
      <protection hidden="1"/>
    </xf>
    <xf numFmtId="0" fontId="4" fillId="2" borderId="1" xfId="3" applyFont="1" applyFill="1" applyBorder="1" applyAlignment="1" applyProtection="1">
      <alignment horizontal="center" vertical="center" wrapText="1"/>
      <protection hidden="1"/>
    </xf>
    <xf numFmtId="49" fontId="21" fillId="0" borderId="0" xfId="3" applyNumberFormat="1" applyFont="1" applyAlignment="1" applyProtection="1">
      <alignment horizontal="center" vertical="center" wrapText="1"/>
      <protection hidden="1"/>
    </xf>
    <xf numFmtId="0" fontId="7" fillId="0" borderId="0" xfId="3" applyFont="1" applyAlignment="1" applyProtection="1">
      <alignment horizontal="left" vertical="center" wrapText="1"/>
      <protection hidden="1"/>
    </xf>
    <xf numFmtId="0" fontId="35" fillId="4" borderId="14" xfId="3" applyFont="1" applyFill="1" applyBorder="1" applyAlignment="1" applyProtection="1">
      <alignment horizontal="center" vertical="center" wrapText="1"/>
      <protection hidden="1"/>
    </xf>
    <xf numFmtId="0" fontId="35" fillId="4" borderId="15" xfId="3" applyFont="1" applyFill="1" applyBorder="1" applyAlignment="1" applyProtection="1">
      <alignment horizontal="center" vertical="center" wrapText="1"/>
      <protection hidden="1"/>
    </xf>
    <xf numFmtId="0" fontId="6" fillId="0" borderId="9" xfId="3" applyFont="1" applyBorder="1" applyAlignment="1" applyProtection="1">
      <alignment horizontal="center" vertical="center" wrapText="1"/>
      <protection hidden="1"/>
    </xf>
    <xf numFmtId="0" fontId="6" fillId="0" borderId="0" xfId="3" applyFont="1" applyAlignment="1" applyProtection="1">
      <alignment horizontal="center" vertical="center" wrapText="1"/>
      <protection hidden="1"/>
    </xf>
    <xf numFmtId="0" fontId="6" fillId="0" borderId="10" xfId="3" applyFont="1" applyBorder="1" applyAlignment="1" applyProtection="1">
      <alignment horizontal="center" vertical="center" wrapText="1"/>
      <protection hidden="1"/>
    </xf>
    <xf numFmtId="0" fontId="36" fillId="4" borderId="1" xfId="0" applyFont="1" applyFill="1" applyBorder="1" applyAlignment="1">
      <alignment horizontal="center" vertical="center"/>
    </xf>
    <xf numFmtId="0" fontId="18" fillId="0" borderId="8" xfId="0" applyFont="1" applyBorder="1"/>
    <xf numFmtId="0" fontId="18" fillId="0" borderId="6" xfId="0" applyFont="1" applyBorder="1"/>
    <xf numFmtId="0" fontId="18" fillId="0" borderId="7" xfId="0" applyFont="1" applyBorder="1"/>
    <xf numFmtId="0" fontId="35" fillId="4" borderId="2" xfId="0" applyFont="1" applyFill="1" applyBorder="1" applyAlignment="1">
      <alignment horizontal="center" vertical="center"/>
    </xf>
    <xf numFmtId="0" fontId="21" fillId="4" borderId="1" xfId="0" applyFont="1" applyFill="1" applyBorder="1" applyAlignment="1">
      <alignment horizontal="center" vertical="center"/>
    </xf>
    <xf numFmtId="0" fontId="21" fillId="4" borderId="2" xfId="0" applyFont="1" applyFill="1" applyBorder="1" applyAlignment="1">
      <alignment horizontal="center" vertical="center"/>
    </xf>
    <xf numFmtId="0" fontId="35" fillId="4" borderId="17" xfId="0" applyFont="1" applyFill="1" applyBorder="1" applyAlignment="1">
      <alignment horizontal="left" vertical="center"/>
    </xf>
    <xf numFmtId="0" fontId="35" fillId="4" borderId="16" xfId="0" applyFont="1" applyFill="1" applyBorder="1" applyAlignment="1">
      <alignment horizontal="left" vertical="center"/>
    </xf>
    <xf numFmtId="0" fontId="35" fillId="4" borderId="18" xfId="0" applyFont="1" applyFill="1" applyBorder="1" applyAlignment="1">
      <alignment horizontal="left" vertical="center"/>
    </xf>
    <xf numFmtId="0" fontId="35" fillId="4" borderId="17" xfId="0" applyFont="1" applyFill="1" applyBorder="1"/>
    <xf numFmtId="0" fontId="35" fillId="4" borderId="16" xfId="0" applyFont="1" applyFill="1" applyBorder="1"/>
    <xf numFmtId="0" fontId="35" fillId="4" borderId="18" xfId="0" applyFont="1" applyFill="1" applyBorder="1"/>
    <xf numFmtId="0" fontId="0" fillId="0" borderId="17" xfId="0" applyBorder="1"/>
    <xf numFmtId="0" fontId="0" fillId="0" borderId="16" xfId="0" applyBorder="1"/>
    <xf numFmtId="0" fontId="0" fillId="0" borderId="18" xfId="0" applyBorder="1"/>
    <xf numFmtId="0" fontId="0" fillId="0" borderId="9" xfId="0" applyBorder="1"/>
    <xf numFmtId="0" fontId="0" fillId="0" borderId="0" xfId="0"/>
    <xf numFmtId="0" fontId="0" fillId="0" borderId="10" xfId="0" applyBorder="1"/>
    <xf numFmtId="0" fontId="0" fillId="0" borderId="8" xfId="0" applyBorder="1"/>
    <xf numFmtId="0" fontId="0" fillId="0" borderId="6" xfId="0" applyBorder="1"/>
    <xf numFmtId="0" fontId="0" fillId="0" borderId="7" xfId="0" applyBorder="1"/>
    <xf numFmtId="0" fontId="19" fillId="0" borderId="6" xfId="0" applyFont="1" applyBorder="1"/>
    <xf numFmtId="0" fontId="19" fillId="0" borderId="7" xfId="0" applyFont="1" applyBorder="1"/>
    <xf numFmtId="0" fontId="9" fillId="0" borderId="17" xfId="0" applyFont="1" applyBorder="1" applyAlignment="1">
      <alignment wrapText="1"/>
    </xf>
    <xf numFmtId="0" fontId="9" fillId="0" borderId="16" xfId="0" applyFont="1" applyBorder="1" applyAlignment="1">
      <alignment wrapText="1"/>
    </xf>
    <xf numFmtId="0" fontId="0" fillId="0" borderId="16" xfId="0" applyBorder="1" applyAlignment="1">
      <alignment wrapText="1"/>
    </xf>
    <xf numFmtId="0" fontId="0" fillId="0" borderId="18" xfId="0" applyBorder="1" applyAlignment="1">
      <alignment wrapText="1"/>
    </xf>
    <xf numFmtId="0" fontId="0" fillId="0" borderId="9" xfId="0" applyBorder="1" applyAlignment="1">
      <alignment wrapText="1"/>
    </xf>
    <xf numFmtId="0" fontId="0" fillId="0" borderId="0" xfId="0" applyAlignment="1">
      <alignment wrapText="1"/>
    </xf>
    <xf numFmtId="0" fontId="0" fillId="0" borderId="10" xfId="0" applyBorder="1" applyAlignment="1">
      <alignment wrapText="1"/>
    </xf>
    <xf numFmtId="0" fontId="0" fillId="0" borderId="8" xfId="0" applyBorder="1" applyAlignment="1">
      <alignment wrapText="1"/>
    </xf>
    <xf numFmtId="0" fontId="0" fillId="0" borderId="6" xfId="0" applyBorder="1" applyAlignment="1">
      <alignment wrapText="1"/>
    </xf>
    <xf numFmtId="0" fontId="0" fillId="0" borderId="7" xfId="0" applyBorder="1" applyAlignment="1">
      <alignment wrapText="1"/>
    </xf>
    <xf numFmtId="0" fontId="4" fillId="2" borderId="1" xfId="3" applyFont="1" applyFill="1" applyBorder="1" applyAlignment="1" applyProtection="1">
      <alignment horizontal="center" vertical="center"/>
      <protection hidden="1"/>
    </xf>
    <xf numFmtId="0" fontId="36" fillId="4" borderId="17" xfId="3" applyFont="1" applyFill="1" applyBorder="1" applyAlignment="1" applyProtection="1">
      <alignment horizontal="center" vertical="center"/>
      <protection hidden="1"/>
    </xf>
    <xf numFmtId="0" fontId="36" fillId="4" borderId="16" xfId="3" applyFont="1" applyFill="1" applyBorder="1" applyAlignment="1" applyProtection="1">
      <alignment horizontal="center" vertical="center"/>
      <protection hidden="1"/>
    </xf>
    <xf numFmtId="0" fontId="36" fillId="4" borderId="18" xfId="3" applyFont="1" applyFill="1" applyBorder="1" applyAlignment="1" applyProtection="1">
      <alignment horizontal="center" vertical="center"/>
      <protection hidden="1"/>
    </xf>
    <xf numFmtId="0" fontId="36" fillId="4" borderId="8" xfId="3" applyFont="1" applyFill="1" applyBorder="1" applyAlignment="1" applyProtection="1">
      <alignment horizontal="center" vertical="center"/>
      <protection hidden="1"/>
    </xf>
    <xf numFmtId="0" fontId="36" fillId="4" borderId="6" xfId="3" applyFont="1" applyFill="1" applyBorder="1" applyAlignment="1" applyProtection="1">
      <alignment horizontal="center" vertical="center"/>
      <protection hidden="1"/>
    </xf>
    <xf numFmtId="0" fontId="36" fillId="4" borderId="7" xfId="3" applyFont="1" applyFill="1" applyBorder="1" applyAlignment="1" applyProtection="1">
      <alignment horizontal="center" vertical="center"/>
      <protection hidden="1"/>
    </xf>
    <xf numFmtId="0" fontId="35" fillId="4" borderId="1" xfId="3" applyFont="1" applyFill="1" applyBorder="1" applyAlignment="1" applyProtection="1">
      <alignment horizontal="center" vertical="center"/>
      <protection hidden="1"/>
    </xf>
    <xf numFmtId="165" fontId="4" fillId="2" borderId="14" xfId="3" applyNumberFormat="1" applyFont="1" applyFill="1" applyBorder="1" applyAlignment="1" applyProtection="1">
      <alignment horizontal="center" vertical="center"/>
      <protection hidden="1"/>
    </xf>
    <xf numFmtId="165" fontId="4" fillId="2" borderId="15" xfId="3" applyNumberFormat="1" applyFont="1" applyFill="1" applyBorder="1" applyAlignment="1" applyProtection="1">
      <alignment horizontal="center" vertical="center"/>
      <protection hidden="1"/>
    </xf>
    <xf numFmtId="0" fontId="7" fillId="2" borderId="1" xfId="3" applyFont="1" applyFill="1" applyBorder="1" applyAlignment="1" applyProtection="1">
      <alignment horizontal="center" vertical="center"/>
      <protection hidden="1"/>
    </xf>
    <xf numFmtId="0" fontId="20" fillId="0" borderId="1" xfId="3" applyFont="1" applyBorder="1" applyAlignment="1" applyProtection="1">
      <alignment horizontal="center" vertical="center" wrapText="1"/>
      <protection hidden="1"/>
    </xf>
    <xf numFmtId="165" fontId="7" fillId="2" borderId="1" xfId="2" applyNumberFormat="1" applyFont="1" applyFill="1" applyBorder="1" applyAlignment="1" applyProtection="1">
      <alignment horizontal="center" vertical="center"/>
      <protection locked="0" hidden="1"/>
    </xf>
    <xf numFmtId="0" fontId="35" fillId="4" borderId="17" xfId="3" applyFont="1" applyFill="1" applyBorder="1" applyAlignment="1" applyProtection="1">
      <alignment horizontal="center" vertical="center" wrapText="1"/>
      <protection hidden="1"/>
    </xf>
    <xf numFmtId="0" fontId="35" fillId="4" borderId="16" xfId="3" applyFont="1" applyFill="1" applyBorder="1" applyAlignment="1" applyProtection="1">
      <alignment horizontal="center" vertical="center" wrapText="1"/>
      <protection hidden="1"/>
    </xf>
    <xf numFmtId="0" fontId="35" fillId="4" borderId="18" xfId="3" applyFont="1" applyFill="1" applyBorder="1" applyAlignment="1" applyProtection="1">
      <alignment horizontal="center" vertical="center" wrapText="1"/>
      <protection hidden="1"/>
    </xf>
    <xf numFmtId="0" fontId="35" fillId="4" borderId="8" xfId="3" applyFont="1" applyFill="1" applyBorder="1" applyAlignment="1" applyProtection="1">
      <alignment horizontal="center" vertical="center" wrapText="1"/>
      <protection hidden="1"/>
    </xf>
    <xf numFmtId="0" fontId="35" fillId="4" borderId="6" xfId="3" applyFont="1" applyFill="1" applyBorder="1" applyAlignment="1" applyProtection="1">
      <alignment horizontal="center" vertical="center" wrapText="1"/>
      <protection hidden="1"/>
    </xf>
    <xf numFmtId="0" fontId="35" fillId="4" borderId="7" xfId="3" applyFont="1" applyFill="1" applyBorder="1" applyAlignment="1" applyProtection="1">
      <alignment horizontal="center" vertical="center" wrapText="1"/>
      <protection hidden="1"/>
    </xf>
    <xf numFmtId="0" fontId="4" fillId="0" borderId="3" xfId="3" applyFont="1" applyBorder="1" applyAlignment="1" applyProtection="1">
      <alignment horizontal="center" vertical="center" wrapText="1"/>
      <protection locked="0" hidden="1"/>
    </xf>
    <xf numFmtId="0" fontId="35" fillId="4" borderId="14" xfId="3" applyFont="1" applyFill="1" applyBorder="1" applyAlignment="1" applyProtection="1">
      <alignment horizontal="center" vertical="center"/>
      <protection locked="0" hidden="1"/>
    </xf>
    <xf numFmtId="0" fontId="35" fillId="4" borderId="5" xfId="3" applyFont="1" applyFill="1" applyBorder="1" applyAlignment="1" applyProtection="1">
      <alignment horizontal="center" vertical="center"/>
      <protection locked="0" hidden="1"/>
    </xf>
    <xf numFmtId="0" fontId="35" fillId="4" borderId="15" xfId="3" applyFont="1" applyFill="1" applyBorder="1" applyAlignment="1" applyProtection="1">
      <alignment horizontal="center" vertical="center"/>
      <protection locked="0" hidden="1"/>
    </xf>
    <xf numFmtId="0" fontId="40" fillId="4" borderId="13" xfId="3" applyFont="1" applyFill="1" applyBorder="1" applyAlignment="1">
      <alignment horizontal="center" vertical="center" wrapText="1"/>
    </xf>
    <xf numFmtId="0" fontId="40" fillId="4" borderId="35" xfId="3" applyFont="1" applyFill="1" applyBorder="1" applyAlignment="1">
      <alignment horizontal="center" vertical="center" wrapText="1"/>
    </xf>
    <xf numFmtId="0" fontId="14" fillId="0" borderId="36" xfId="3" applyFont="1" applyBorder="1" applyAlignment="1">
      <alignment vertical="top"/>
    </xf>
    <xf numFmtId="0" fontId="14" fillId="0" borderId="29" xfId="3" applyFont="1" applyBorder="1" applyAlignment="1">
      <alignment vertical="top"/>
    </xf>
    <xf numFmtId="0" fontId="14" fillId="0" borderId="37" xfId="3" applyFont="1" applyBorder="1" applyAlignment="1">
      <alignment vertical="top" wrapText="1"/>
    </xf>
    <xf numFmtId="0" fontId="14" fillId="0" borderId="2" xfId="3" applyFont="1" applyBorder="1" applyAlignment="1">
      <alignment vertical="top" wrapText="1"/>
    </xf>
    <xf numFmtId="0" fontId="14" fillId="0" borderId="37" xfId="3" applyFont="1" applyBorder="1" applyAlignment="1" applyProtection="1">
      <alignment horizontal="center"/>
      <protection locked="0"/>
    </xf>
    <xf numFmtId="0" fontId="14" fillId="0" borderId="2" xfId="3" applyFont="1" applyBorder="1" applyAlignment="1" applyProtection="1">
      <alignment horizontal="center"/>
      <protection locked="0"/>
    </xf>
    <xf numFmtId="0" fontId="14" fillId="0" borderId="38" xfId="3" applyFont="1" applyBorder="1" applyAlignment="1">
      <alignment vertical="top" wrapText="1"/>
    </xf>
    <xf numFmtId="0" fontId="14" fillId="0" borderId="11" xfId="3" applyFont="1" applyBorder="1" applyAlignment="1">
      <alignment vertical="top" wrapText="1"/>
    </xf>
    <xf numFmtId="0" fontId="14" fillId="0" borderId="12" xfId="3" applyFont="1" applyBorder="1" applyAlignment="1">
      <alignment vertical="top" wrapText="1"/>
    </xf>
    <xf numFmtId="0" fontId="14" fillId="0" borderId="8" xfId="3" applyFont="1" applyBorder="1" applyAlignment="1">
      <alignment vertical="top" wrapText="1"/>
    </xf>
    <xf numFmtId="0" fontId="14" fillId="0" borderId="6" xfId="3" applyFont="1" applyBorder="1" applyAlignment="1">
      <alignment vertical="top" wrapText="1"/>
    </xf>
    <xf numFmtId="0" fontId="14" fillId="0" borderId="30" xfId="3" applyFont="1" applyBorder="1" applyAlignment="1">
      <alignment vertical="top" wrapText="1"/>
    </xf>
    <xf numFmtId="0" fontId="40" fillId="4" borderId="13" xfId="3" applyFont="1" applyFill="1" applyBorder="1" applyAlignment="1">
      <alignment horizontal="center" vertical="center"/>
    </xf>
    <xf numFmtId="0" fontId="40" fillId="4" borderId="35" xfId="3" applyFont="1" applyFill="1" applyBorder="1" applyAlignment="1">
      <alignment horizontal="center" vertical="center"/>
    </xf>
    <xf numFmtId="0" fontId="14" fillId="0" borderId="39" xfId="3" applyFont="1" applyBorder="1" applyAlignment="1">
      <alignment vertical="top" wrapText="1"/>
    </xf>
    <xf numFmtId="0" fontId="14" fillId="0" borderId="29" xfId="3" applyFont="1" applyBorder="1" applyAlignment="1">
      <alignment vertical="top" wrapText="1"/>
    </xf>
    <xf numFmtId="0" fontId="14" fillId="0" borderId="3" xfId="3" applyFont="1" applyBorder="1" applyAlignment="1">
      <alignment vertical="top" wrapText="1"/>
    </xf>
    <xf numFmtId="0" fontId="14" fillId="0" borderId="3" xfId="3" applyFont="1" applyBorder="1" applyAlignment="1" applyProtection="1">
      <alignment horizontal="center"/>
      <protection locked="0"/>
    </xf>
    <xf numFmtId="0" fontId="14" fillId="0" borderId="17" xfId="3" applyFont="1" applyBorder="1" applyAlignment="1">
      <alignment vertical="top" wrapText="1"/>
    </xf>
    <xf numFmtId="0" fontId="14" fillId="0" borderId="16" xfId="3" applyFont="1" applyBorder="1" applyAlignment="1">
      <alignment vertical="top" wrapText="1"/>
    </xf>
    <xf numFmtId="0" fontId="14" fillId="0" borderId="40" xfId="3" applyFont="1" applyBorder="1" applyAlignment="1">
      <alignment vertical="top" wrapText="1"/>
    </xf>
    <xf numFmtId="0" fontId="14" fillId="0" borderId="14" xfId="3" applyFont="1" applyBorder="1" applyAlignment="1">
      <alignment vertical="top" wrapText="1"/>
    </xf>
    <xf numFmtId="0" fontId="14" fillId="0" borderId="5" xfId="3" applyFont="1" applyBorder="1" applyAlignment="1">
      <alignment vertical="top" wrapText="1"/>
    </xf>
    <xf numFmtId="0" fontId="14" fillId="0" borderId="28" xfId="3" applyFont="1" applyBorder="1" applyAlignment="1">
      <alignment vertical="top" wrapText="1"/>
    </xf>
    <xf numFmtId="0" fontId="40" fillId="4" borderId="50" xfId="3" applyFont="1" applyFill="1" applyBorder="1" applyAlignment="1">
      <alignment horizontal="center" vertical="center"/>
    </xf>
    <xf numFmtId="0" fontId="40" fillId="4" borderId="11" xfId="3" applyFont="1" applyFill="1" applyBorder="1" applyAlignment="1">
      <alignment horizontal="center" vertical="center"/>
    </xf>
    <xf numFmtId="0" fontId="40" fillId="4" borderId="12" xfId="3" applyFont="1" applyFill="1" applyBorder="1" applyAlignment="1">
      <alignment horizontal="center" vertical="center"/>
    </xf>
    <xf numFmtId="0" fontId="40" fillId="4" borderId="51" xfId="3" applyFont="1" applyFill="1" applyBorder="1" applyAlignment="1">
      <alignment horizontal="center" vertical="center"/>
    </xf>
    <xf numFmtId="0" fontId="40" fillId="4" borderId="33" xfId="3" applyFont="1" applyFill="1" applyBorder="1" applyAlignment="1">
      <alignment horizontal="center" vertical="center"/>
    </xf>
    <xf numFmtId="0" fontId="40" fillId="4" borderId="34" xfId="3" applyFont="1" applyFill="1" applyBorder="1" applyAlignment="1">
      <alignment horizontal="center" vertical="center"/>
    </xf>
    <xf numFmtId="0" fontId="31" fillId="5" borderId="55" xfId="3" applyFont="1" applyFill="1" applyBorder="1" applyAlignment="1">
      <alignment horizontal="center"/>
    </xf>
    <xf numFmtId="0" fontId="31" fillId="5" borderId="5" xfId="3" applyFont="1" applyFill="1" applyBorder="1" applyAlignment="1">
      <alignment horizontal="center"/>
    </xf>
    <xf numFmtId="0" fontId="31" fillId="5" borderId="28" xfId="3" applyFont="1" applyFill="1" applyBorder="1" applyAlignment="1">
      <alignment horizontal="center"/>
    </xf>
    <xf numFmtId="0" fontId="13" fillId="0" borderId="17" xfId="3" applyFont="1" applyBorder="1" applyAlignment="1">
      <alignment vertical="top" wrapText="1"/>
    </xf>
    <xf numFmtId="0" fontId="13" fillId="0" borderId="18" xfId="3" applyFont="1" applyBorder="1" applyAlignment="1">
      <alignment vertical="top" wrapText="1"/>
    </xf>
    <xf numFmtId="0" fontId="13" fillId="0" borderId="9" xfId="3" applyFont="1" applyBorder="1" applyAlignment="1">
      <alignment vertical="top" wrapText="1"/>
    </xf>
    <xf numFmtId="0" fontId="13" fillId="0" borderId="10" xfId="3" applyFont="1" applyBorder="1" applyAlignment="1">
      <alignment vertical="top" wrapText="1"/>
    </xf>
    <xf numFmtId="0" fontId="13" fillId="0" borderId="43" xfId="3" applyFont="1" applyBorder="1" applyAlignment="1">
      <alignment vertical="top" wrapText="1"/>
    </xf>
    <xf numFmtId="0" fontId="13" fillId="0" borderId="44" xfId="3" applyFont="1" applyBorder="1" applyAlignment="1">
      <alignment vertical="top" wrapText="1"/>
    </xf>
    <xf numFmtId="0" fontId="13" fillId="0" borderId="16" xfId="3" applyFont="1" applyBorder="1" applyAlignment="1">
      <alignment horizontal="left" vertical="top" wrapText="1"/>
    </xf>
    <xf numFmtId="0" fontId="13" fillId="0" borderId="40" xfId="3" applyFont="1" applyBorder="1" applyAlignment="1">
      <alignment horizontal="left" vertical="top" wrapText="1"/>
    </xf>
    <xf numFmtId="0" fontId="13" fillId="0" borderId="0" xfId="3" applyFont="1" applyAlignment="1">
      <alignment horizontal="left" vertical="top" wrapText="1"/>
    </xf>
    <xf numFmtId="0" fontId="13" fillId="0" borderId="41" xfId="3" applyFont="1" applyBorder="1" applyAlignment="1">
      <alignment horizontal="left" vertical="top" wrapText="1"/>
    </xf>
    <xf numFmtId="0" fontId="6" fillId="0" borderId="6" xfId="3" applyFont="1" applyBorder="1" applyAlignment="1">
      <alignment vertical="top" wrapText="1"/>
    </xf>
    <xf numFmtId="0" fontId="6" fillId="0" borderId="30" xfId="3" applyFont="1" applyBorder="1" applyAlignment="1">
      <alignment vertical="top" wrapText="1"/>
    </xf>
    <xf numFmtId="0" fontId="14" fillId="0" borderId="39" xfId="3" applyFont="1" applyBorder="1" applyAlignment="1">
      <alignment vertical="top"/>
    </xf>
    <xf numFmtId="0" fontId="14" fillId="0" borderId="42" xfId="3" applyFont="1" applyBorder="1" applyAlignment="1">
      <alignment vertical="top"/>
    </xf>
    <xf numFmtId="0" fontId="14" fillId="0" borderId="4" xfId="3" applyFont="1" applyBorder="1" applyAlignment="1">
      <alignment vertical="top" wrapText="1"/>
    </xf>
    <xf numFmtId="0" fontId="14" fillId="0" borderId="4" xfId="3" applyFont="1" applyBorder="1" applyAlignment="1" applyProtection="1">
      <alignment horizontal="center"/>
      <protection locked="0"/>
    </xf>
    <xf numFmtId="0" fontId="14" fillId="0" borderId="0" xfId="3" applyFont="1" applyAlignment="1">
      <alignment vertical="top" wrapText="1"/>
    </xf>
    <xf numFmtId="0" fontId="6" fillId="0" borderId="0" xfId="3" applyFont="1" applyAlignment="1">
      <alignment vertical="top" wrapText="1"/>
    </xf>
    <xf numFmtId="0" fontId="6" fillId="0" borderId="41" xfId="3" applyFont="1" applyBorder="1" applyAlignment="1">
      <alignment vertical="top" wrapText="1"/>
    </xf>
    <xf numFmtId="0" fontId="14" fillId="0" borderId="41" xfId="3" applyFont="1" applyBorder="1" applyAlignment="1">
      <alignment vertical="top" wrapText="1"/>
    </xf>
    <xf numFmtId="49" fontId="33" fillId="0" borderId="48" xfId="3" applyNumberFormat="1" applyFont="1" applyBorder="1" applyAlignment="1">
      <alignment horizontal="left"/>
    </xf>
    <xf numFmtId="49" fontId="33" fillId="0" borderId="49" xfId="3" applyNumberFormat="1" applyFont="1" applyBorder="1" applyAlignment="1">
      <alignment horizontal="left"/>
    </xf>
    <xf numFmtId="0" fontId="38" fillId="4" borderId="0" xfId="3" applyFont="1" applyFill="1" applyAlignment="1">
      <alignment horizontal="center" vertical="center"/>
    </xf>
    <xf numFmtId="0" fontId="40" fillId="4" borderId="52" xfId="3" applyFont="1" applyFill="1" applyBorder="1" applyAlignment="1">
      <alignment horizontal="center" vertical="center"/>
    </xf>
    <xf numFmtId="0" fontId="40" fillId="4" borderId="53" xfId="3" applyFont="1" applyFill="1" applyBorder="1" applyAlignment="1">
      <alignment horizontal="center" vertical="center"/>
    </xf>
    <xf numFmtId="0" fontId="40" fillId="4" borderId="54" xfId="3" applyFont="1" applyFill="1" applyBorder="1" applyAlignment="1">
      <alignment horizontal="center" vertical="center"/>
    </xf>
    <xf numFmtId="0" fontId="40" fillId="4" borderId="14" xfId="3" applyFont="1" applyFill="1" applyBorder="1" applyAlignment="1">
      <alignment horizontal="center" vertical="center"/>
    </xf>
    <xf numFmtId="0" fontId="41" fillId="4" borderId="5" xfId="3" applyFont="1" applyFill="1" applyBorder="1" applyAlignment="1">
      <alignment horizontal="center" vertical="center"/>
    </xf>
    <xf numFmtId="0" fontId="41" fillId="4" borderId="28" xfId="3" applyFont="1" applyFill="1" applyBorder="1" applyAlignment="1">
      <alignment horizontal="center" vertical="center"/>
    </xf>
    <xf numFmtId="0" fontId="40" fillId="4" borderId="55" xfId="3" applyFont="1" applyFill="1" applyBorder="1" applyAlignment="1">
      <alignment horizontal="center" vertical="center"/>
    </xf>
    <xf numFmtId="0" fontId="41" fillId="4" borderId="15" xfId="3" applyFont="1" applyFill="1" applyBorder="1" applyAlignment="1">
      <alignment horizontal="center" vertical="center"/>
    </xf>
    <xf numFmtId="0" fontId="24" fillId="0" borderId="56" xfId="3" applyFont="1" applyBorder="1" applyAlignment="1">
      <alignment horizontal="center" vertical="center"/>
    </xf>
    <xf numFmtId="0" fontId="24" fillId="0" borderId="24" xfId="3" applyFont="1" applyBorder="1" applyAlignment="1">
      <alignment horizontal="center" vertical="center"/>
    </xf>
    <xf numFmtId="0" fontId="24" fillId="0" borderId="25" xfId="3" applyFont="1" applyBorder="1" applyAlignment="1">
      <alignment horizontal="center" vertical="center"/>
    </xf>
    <xf numFmtId="0" fontId="30" fillId="0" borderId="1" xfId="3" applyFont="1" applyBorder="1" applyAlignment="1">
      <alignment horizontal="center" vertical="center" wrapText="1"/>
    </xf>
    <xf numFmtId="0" fontId="8" fillId="0" borderId="1" xfId="3" applyFont="1" applyBorder="1" applyAlignment="1">
      <alignment horizontal="left"/>
    </xf>
    <xf numFmtId="0" fontId="40" fillId="4" borderId="20" xfId="3" applyFont="1" applyFill="1" applyBorder="1" applyAlignment="1">
      <alignment horizontal="center" vertical="center"/>
    </xf>
    <xf numFmtId="0" fontId="40" fillId="4" borderId="21" xfId="3" applyFont="1" applyFill="1" applyBorder="1" applyAlignment="1">
      <alignment horizontal="center" vertical="center"/>
    </xf>
    <xf numFmtId="0" fontId="36" fillId="4" borderId="6" xfId="0" applyFont="1" applyFill="1" applyBorder="1" applyAlignment="1">
      <alignment horizontal="center"/>
    </xf>
    <xf numFmtId="0" fontId="7" fillId="0" borderId="14" xfId="0" applyFont="1" applyBorder="1" applyAlignment="1">
      <alignment horizontal="center" vertical="center"/>
    </xf>
    <xf numFmtId="0" fontId="7" fillId="0" borderId="5" xfId="0" applyFont="1" applyBorder="1" applyAlignment="1">
      <alignment horizontal="center" vertical="center"/>
    </xf>
    <xf numFmtId="0" fontId="7" fillId="0" borderId="15" xfId="0" applyFont="1" applyBorder="1" applyAlignment="1">
      <alignment horizontal="center" vertical="center"/>
    </xf>
    <xf numFmtId="0" fontId="17" fillId="0" borderId="1" xfId="0" applyFont="1" applyBorder="1" applyAlignment="1">
      <alignment horizontal="center" vertical="center" wrapText="1"/>
    </xf>
    <xf numFmtId="0" fontId="35" fillId="4" borderId="1" xfId="0" applyFont="1" applyFill="1" applyBorder="1" applyAlignment="1">
      <alignment horizontal="center" vertical="center" wrapText="1"/>
    </xf>
    <xf numFmtId="0" fontId="7" fillId="0" borderId="1" xfId="0" applyFont="1" applyBorder="1" applyAlignment="1">
      <alignment horizontal="center" vertical="center"/>
    </xf>
    <xf numFmtId="0" fontId="7" fillId="0" borderId="3" xfId="0" applyFont="1" applyBorder="1" applyAlignment="1">
      <alignment horizontal="center" vertical="center"/>
    </xf>
    <xf numFmtId="0" fontId="35" fillId="0" borderId="1" xfId="0" applyFont="1" applyBorder="1" applyAlignment="1">
      <alignment horizontal="center" vertical="center" wrapText="1"/>
    </xf>
    <xf numFmtId="0" fontId="35" fillId="0" borderId="17" xfId="0" applyFont="1" applyBorder="1" applyAlignment="1">
      <alignment horizontal="center" vertical="center" wrapText="1"/>
    </xf>
    <xf numFmtId="0" fontId="35" fillId="0" borderId="18" xfId="0" applyFont="1" applyBorder="1" applyAlignment="1">
      <alignment horizontal="center" vertical="center" wrapText="1"/>
    </xf>
    <xf numFmtId="0" fontId="35" fillId="0" borderId="8" xfId="0" applyFont="1" applyBorder="1" applyAlignment="1">
      <alignment horizontal="center" vertical="center" wrapText="1"/>
    </xf>
    <xf numFmtId="0" fontId="35" fillId="0" borderId="7" xfId="0" applyFont="1" applyBorder="1" applyAlignment="1">
      <alignment horizontal="center" vertical="center" wrapText="1"/>
    </xf>
    <xf numFmtId="0" fontId="9" fillId="0" borderId="1" xfId="5" applyFont="1" applyBorder="1" applyAlignment="1">
      <alignment horizontal="center" vertical="center"/>
    </xf>
    <xf numFmtId="0" fontId="36" fillId="4" borderId="1" xfId="5" applyFont="1" applyFill="1" applyBorder="1" applyAlignment="1">
      <alignment horizontal="center" vertical="center"/>
    </xf>
    <xf numFmtId="0" fontId="9" fillId="0" borderId="3" xfId="5" applyFont="1"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35" fillId="4" borderId="14" xfId="0" applyFont="1" applyFill="1" applyBorder="1" applyAlignment="1">
      <alignment horizontal="center" vertical="center"/>
    </xf>
    <xf numFmtId="0" fontId="35" fillId="4" borderId="5" xfId="0" applyFont="1" applyFill="1" applyBorder="1" applyAlignment="1">
      <alignment horizontal="center" vertical="center"/>
    </xf>
    <xf numFmtId="0" fontId="0" fillId="0" borderId="1" xfId="0" applyBorder="1" applyAlignment="1">
      <alignment horizontal="center" vertical="center"/>
    </xf>
    <xf numFmtId="0" fontId="17" fillId="0" borderId="1" xfId="0" applyFont="1" applyBorder="1" applyAlignment="1">
      <alignment vertical="center"/>
    </xf>
    <xf numFmtId="0" fontId="21" fillId="0" borderId="1" xfId="0" applyFont="1" applyBorder="1" applyAlignment="1">
      <alignment horizontal="center" vertical="center"/>
    </xf>
    <xf numFmtId="0" fontId="35" fillId="4" borderId="3" xfId="0" applyFont="1" applyFill="1" applyBorder="1" applyAlignment="1">
      <alignment horizontal="center" vertical="center"/>
    </xf>
    <xf numFmtId="0" fontId="20" fillId="0" borderId="3" xfId="0" applyFont="1" applyBorder="1" applyAlignment="1">
      <alignment horizontal="center" vertical="center"/>
    </xf>
    <xf numFmtId="0" fontId="35" fillId="4" borderId="17" xfId="0" applyFont="1" applyFill="1" applyBorder="1" applyAlignment="1">
      <alignment horizontal="center" vertical="center" wrapText="1"/>
    </xf>
    <xf numFmtId="0" fontId="35" fillId="4" borderId="18" xfId="0" applyFont="1" applyFill="1" applyBorder="1" applyAlignment="1">
      <alignment horizontal="center" vertical="center" wrapText="1"/>
    </xf>
    <xf numFmtId="0" fontId="35" fillId="4" borderId="8" xfId="0" applyFont="1" applyFill="1" applyBorder="1" applyAlignment="1">
      <alignment horizontal="center" vertical="center" wrapText="1"/>
    </xf>
    <xf numFmtId="0" fontId="35" fillId="4" borderId="7" xfId="0" applyFont="1" applyFill="1" applyBorder="1" applyAlignment="1">
      <alignment horizontal="center" vertical="center" wrapText="1"/>
    </xf>
    <xf numFmtId="0" fontId="17" fillId="0" borderId="1" xfId="0" applyFont="1" applyBorder="1" applyAlignment="1">
      <alignment horizontal="center" vertical="center"/>
    </xf>
    <xf numFmtId="0" fontId="35" fillId="4" borderId="15" xfId="0" applyFont="1" applyFill="1" applyBorder="1" applyAlignment="1">
      <alignment horizontal="center" vertical="center"/>
    </xf>
    <xf numFmtId="0" fontId="20" fillId="0" borderId="1" xfId="0" applyFont="1" applyBorder="1" applyAlignment="1">
      <alignment horizontal="center" vertical="center"/>
    </xf>
    <xf numFmtId="0" fontId="0" fillId="0" borderId="5" xfId="0" applyBorder="1" applyAlignment="1">
      <alignment horizontal="center" vertical="center"/>
    </xf>
    <xf numFmtId="0" fontId="0" fillId="0" borderId="1" xfId="0" applyBorder="1" applyAlignment="1">
      <alignment vertical="center"/>
    </xf>
  </cellXfs>
  <cellStyles count="11">
    <cellStyle name="Currency" xfId="1" builtinId="4"/>
    <cellStyle name="Currency 2" xfId="2" xr:uid="{00000000-0005-0000-0000-000001000000}"/>
    <cellStyle name="Currency 3" xfId="6" xr:uid="{00000000-0005-0000-0000-000002000000}"/>
    <cellStyle name="Currency 4" xfId="7" xr:uid="{00000000-0005-0000-0000-000003000000}"/>
    <cellStyle name="Hyperlink" xfId="10" builtinId="8"/>
    <cellStyle name="Normal" xfId="0" builtinId="0"/>
    <cellStyle name="Normal 2" xfId="3" xr:uid="{00000000-0005-0000-0000-000006000000}"/>
    <cellStyle name="Normal 3" xfId="5" xr:uid="{00000000-0005-0000-0000-000007000000}"/>
    <cellStyle name="Normal 4" xfId="8" xr:uid="{00000000-0005-0000-0000-000008000000}"/>
    <cellStyle name="Normal 5" xfId="9" xr:uid="{00000000-0005-0000-0000-000009000000}"/>
    <cellStyle name="Per cent" xfId="4" builtinId="5"/>
  </cellStyles>
  <dxfs count="1">
    <dxf>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trlProps/ctrlProp1.xml><?xml version="1.0" encoding="utf-8"?>
<formControlPr xmlns="http://schemas.microsoft.com/office/spreadsheetml/2009/9/main" objectType="CheckBox" fmlaLink="$I$47" lockText="1"/>
</file>

<file path=xl/ctrlProps/ctrlProp2.xml><?xml version="1.0" encoding="utf-8"?>
<formControlPr xmlns="http://schemas.microsoft.com/office/spreadsheetml/2009/9/main" objectType="CheckBox" fmlaLink="$I$49" lockText="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161925</xdr:colOff>
      <xdr:row>0</xdr:row>
      <xdr:rowOff>95250</xdr:rowOff>
    </xdr:from>
    <xdr:to>
      <xdr:col>6</xdr:col>
      <xdr:colOff>484153</xdr:colOff>
      <xdr:row>3</xdr:row>
      <xdr:rowOff>38099</xdr:rowOff>
    </xdr:to>
    <xdr:pic>
      <xdr:nvPicPr>
        <xdr:cNvPr id="2" name="Picture 5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7591425" y="95250"/>
          <a:ext cx="1750978" cy="514349"/>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0</xdr:row>
      <xdr:rowOff>47625</xdr:rowOff>
    </xdr:from>
    <xdr:to>
      <xdr:col>11</xdr:col>
      <xdr:colOff>285750</xdr:colOff>
      <xdr:row>0</xdr:row>
      <xdr:rowOff>47625</xdr:rowOff>
    </xdr:to>
    <xdr:pic>
      <xdr:nvPicPr>
        <xdr:cNvPr id="5224" name="Picture 53">
          <a:extLst>
            <a:ext uri="{FF2B5EF4-FFF2-40B4-BE49-F238E27FC236}">
              <a16:creationId xmlns:a16="http://schemas.microsoft.com/office/drawing/2014/main" id="{00000000-0008-0000-0100-0000681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534025" y="47625"/>
          <a:ext cx="2428875" cy="0"/>
        </a:xfrm>
        <a:prstGeom prst="rect">
          <a:avLst/>
        </a:prstGeom>
        <a:noFill/>
        <a:ln w="9525">
          <a:noFill/>
          <a:miter lim="800000"/>
          <a:headEnd/>
          <a:tailEnd/>
        </a:ln>
      </xdr:spPr>
    </xdr:pic>
    <xdr:clientData/>
  </xdr:twoCellAnchor>
  <xdr:twoCellAnchor editAs="oneCell">
    <xdr:from>
      <xdr:col>11</xdr:col>
      <xdr:colOff>610411</xdr:colOff>
      <xdr:row>0</xdr:row>
      <xdr:rowOff>133350</xdr:rowOff>
    </xdr:from>
    <xdr:to>
      <xdr:col>13</xdr:col>
      <xdr:colOff>513539</xdr:colOff>
      <xdr:row>3</xdr:row>
      <xdr:rowOff>76199</xdr:rowOff>
    </xdr:to>
    <xdr:pic>
      <xdr:nvPicPr>
        <xdr:cNvPr id="5225" name="Picture 53">
          <a:extLst>
            <a:ext uri="{FF2B5EF4-FFF2-40B4-BE49-F238E27FC236}">
              <a16:creationId xmlns:a16="http://schemas.microsoft.com/office/drawing/2014/main" id="{00000000-0008-0000-0100-000069140000}"/>
            </a:ext>
          </a:extLst>
        </xdr:cNvPr>
        <xdr:cNvPicPr>
          <a:picLocks noChangeAspect="1" noChangeArrowheads="1"/>
        </xdr:cNvPicPr>
      </xdr:nvPicPr>
      <xdr:blipFill>
        <a:blip xmlns:r="http://schemas.openxmlformats.org/officeDocument/2006/relationships" r:embed="rId2" cstate="print"/>
        <a:stretch>
          <a:fillRect/>
        </a:stretch>
      </xdr:blipFill>
      <xdr:spPr bwMode="auto">
        <a:xfrm>
          <a:off x="8287561" y="133350"/>
          <a:ext cx="1750978" cy="514349"/>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425686</xdr:colOff>
      <xdr:row>0</xdr:row>
      <xdr:rowOff>104775</xdr:rowOff>
    </xdr:from>
    <xdr:to>
      <xdr:col>10</xdr:col>
      <xdr:colOff>250588</xdr:colOff>
      <xdr:row>3</xdr:row>
      <xdr:rowOff>104774</xdr:rowOff>
    </xdr:to>
    <xdr:pic>
      <xdr:nvPicPr>
        <xdr:cNvPr id="15411" name="Picture 53">
          <a:extLst>
            <a:ext uri="{FF2B5EF4-FFF2-40B4-BE49-F238E27FC236}">
              <a16:creationId xmlns:a16="http://schemas.microsoft.com/office/drawing/2014/main" id="{00000000-0008-0000-0200-0000333C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3473686" y="104775"/>
          <a:ext cx="1653702" cy="485774"/>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1381125</xdr:colOff>
      <xdr:row>0</xdr:row>
      <xdr:rowOff>0</xdr:rowOff>
    </xdr:from>
    <xdr:to>
      <xdr:col>5</xdr:col>
      <xdr:colOff>1381280</xdr:colOff>
      <xdr:row>2</xdr:row>
      <xdr:rowOff>10085</xdr:rowOff>
    </xdr:to>
    <xdr:pic>
      <xdr:nvPicPr>
        <xdr:cNvPr id="2" name="Picture 1" descr="Response new logo.JP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stretch>
          <a:fillRect/>
        </a:stretch>
      </xdr:blipFill>
      <xdr:spPr>
        <a:xfrm>
          <a:off x="4457700" y="0"/>
          <a:ext cx="155" cy="391085"/>
        </a:xfrm>
        <a:prstGeom prst="rect">
          <a:avLst/>
        </a:prstGeom>
      </xdr:spPr>
    </xdr:pic>
    <xdr:clientData/>
  </xdr:twoCellAnchor>
  <xdr:twoCellAnchor editAs="oneCell">
    <xdr:from>
      <xdr:col>5</xdr:col>
      <xdr:colOff>1423530</xdr:colOff>
      <xdr:row>0</xdr:row>
      <xdr:rowOff>95250</xdr:rowOff>
    </xdr:from>
    <xdr:to>
      <xdr:col>5</xdr:col>
      <xdr:colOff>2915104</xdr:colOff>
      <xdr:row>2</xdr:row>
      <xdr:rowOff>152399</xdr:rowOff>
    </xdr:to>
    <xdr:pic>
      <xdr:nvPicPr>
        <xdr:cNvPr id="4" name="Picture 53">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2" cstate="print"/>
        <a:stretch>
          <a:fillRect/>
        </a:stretch>
      </xdr:blipFill>
      <xdr:spPr bwMode="auto">
        <a:xfrm>
          <a:off x="4500105" y="95250"/>
          <a:ext cx="1491574" cy="438149"/>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1962150</xdr:colOff>
      <xdr:row>0</xdr:row>
      <xdr:rowOff>76200</xdr:rowOff>
    </xdr:from>
    <xdr:to>
      <xdr:col>7</xdr:col>
      <xdr:colOff>705012</xdr:colOff>
      <xdr:row>3</xdr:row>
      <xdr:rowOff>76199</xdr:rowOff>
    </xdr:to>
    <xdr:pic>
      <xdr:nvPicPr>
        <xdr:cNvPr id="3" name="Picture 53">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7620000" y="76200"/>
          <a:ext cx="1653702" cy="485774"/>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209551</xdr:colOff>
      <xdr:row>0</xdr:row>
      <xdr:rowOff>52923</xdr:rowOff>
    </xdr:from>
    <xdr:to>
      <xdr:col>10</xdr:col>
      <xdr:colOff>809624</xdr:colOff>
      <xdr:row>2</xdr:row>
      <xdr:rowOff>137576</xdr:rowOff>
    </xdr:to>
    <xdr:pic>
      <xdr:nvPicPr>
        <xdr:cNvPr id="50226" name="Picture 53">
          <a:extLst>
            <a:ext uri="{FF2B5EF4-FFF2-40B4-BE49-F238E27FC236}">
              <a16:creationId xmlns:a16="http://schemas.microsoft.com/office/drawing/2014/main" id="{00000000-0008-0000-0500-000032C4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9420226" y="52923"/>
          <a:ext cx="1390648" cy="408503"/>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396240</xdr:colOff>
          <xdr:row>45</xdr:row>
          <xdr:rowOff>99060</xdr:rowOff>
        </xdr:from>
        <xdr:to>
          <xdr:col>1</xdr:col>
          <xdr:colOff>594360</xdr:colOff>
          <xdr:row>46</xdr:row>
          <xdr:rowOff>129540</xdr:rowOff>
        </xdr:to>
        <xdr:sp macro="" textlink="">
          <xdr:nvSpPr>
            <xdr:cNvPr id="51201" name="Check Box 1" hidden="1">
              <a:extLst>
                <a:ext uri="{63B3BB69-23CF-44E3-9099-C40C66FF867C}">
                  <a14:compatExt spid="_x0000_s51201"/>
                </a:ext>
                <a:ext uri="{FF2B5EF4-FFF2-40B4-BE49-F238E27FC236}">
                  <a16:creationId xmlns:a16="http://schemas.microsoft.com/office/drawing/2014/main" id="{00000000-0008-0000-0600-000001C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243840</xdr:colOff>
          <xdr:row>45</xdr:row>
          <xdr:rowOff>99060</xdr:rowOff>
        </xdr:from>
        <xdr:to>
          <xdr:col>5</xdr:col>
          <xdr:colOff>53340</xdr:colOff>
          <xdr:row>46</xdr:row>
          <xdr:rowOff>129540</xdr:rowOff>
        </xdr:to>
        <xdr:sp macro="" textlink="">
          <xdr:nvSpPr>
            <xdr:cNvPr id="51202" name="Check Box 2" hidden="1">
              <a:extLst>
                <a:ext uri="{63B3BB69-23CF-44E3-9099-C40C66FF867C}">
                  <a14:compatExt spid="_x0000_s51202"/>
                </a:ext>
                <a:ext uri="{FF2B5EF4-FFF2-40B4-BE49-F238E27FC236}">
                  <a16:creationId xmlns:a16="http://schemas.microsoft.com/office/drawing/2014/main" id="{00000000-0008-0000-0600-000002C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xdr:twoCellAnchor editAs="oneCell">
    <xdr:from>
      <xdr:col>9</xdr:col>
      <xdr:colOff>676275</xdr:colOff>
      <xdr:row>1</xdr:row>
      <xdr:rowOff>38100</xdr:rowOff>
    </xdr:from>
    <xdr:to>
      <xdr:col>11</xdr:col>
      <xdr:colOff>358302</xdr:colOff>
      <xdr:row>3</xdr:row>
      <xdr:rowOff>142874</xdr:rowOff>
    </xdr:to>
    <xdr:pic>
      <xdr:nvPicPr>
        <xdr:cNvPr id="2" name="Picture 53">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6800850" y="228600"/>
          <a:ext cx="1653702" cy="485774"/>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6</xdr:col>
      <xdr:colOff>0</xdr:colOff>
      <xdr:row>1</xdr:row>
      <xdr:rowOff>0</xdr:rowOff>
    </xdr:from>
    <xdr:to>
      <xdr:col>7</xdr:col>
      <xdr:colOff>605952</xdr:colOff>
      <xdr:row>3</xdr:row>
      <xdr:rowOff>99059</xdr:rowOff>
    </xdr:to>
    <xdr:pic>
      <xdr:nvPicPr>
        <xdr:cNvPr id="3" name="Picture 53">
          <a:extLst>
            <a:ext uri="{FF2B5EF4-FFF2-40B4-BE49-F238E27FC236}">
              <a16:creationId xmlns:a16="http://schemas.microsoft.com/office/drawing/2014/main" id="{00000000-0008-0000-0800-000003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9686925" y="238125"/>
          <a:ext cx="1653702" cy="485774"/>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7</xdr:col>
      <xdr:colOff>552450</xdr:colOff>
      <xdr:row>1</xdr:row>
      <xdr:rowOff>76200</xdr:rowOff>
    </xdr:from>
    <xdr:to>
      <xdr:col>8</xdr:col>
      <xdr:colOff>891702</xdr:colOff>
      <xdr:row>3</xdr:row>
      <xdr:rowOff>180974</xdr:rowOff>
    </xdr:to>
    <xdr:pic>
      <xdr:nvPicPr>
        <xdr:cNvPr id="3" name="Picture 53">
          <a:extLst>
            <a:ext uri="{FF2B5EF4-FFF2-40B4-BE49-F238E27FC236}">
              <a16:creationId xmlns:a16="http://schemas.microsoft.com/office/drawing/2014/main" id="{00000000-0008-0000-0900-000003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6562725" y="266700"/>
          <a:ext cx="1653702" cy="485774"/>
        </a:xfrm>
        <a:prstGeom prst="rect">
          <a:avLst/>
        </a:prstGeom>
        <a:noFill/>
        <a:ln w="9525">
          <a:noFill/>
          <a:miter lim="800000"/>
          <a:headEnd/>
          <a:tailEn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7</xdr:col>
      <xdr:colOff>257175</xdr:colOff>
      <xdr:row>1</xdr:row>
      <xdr:rowOff>114300</xdr:rowOff>
    </xdr:from>
    <xdr:to>
      <xdr:col>9</xdr:col>
      <xdr:colOff>487122</xdr:colOff>
      <xdr:row>4</xdr:row>
      <xdr:rowOff>72011</xdr:rowOff>
    </xdr:to>
    <xdr:pic>
      <xdr:nvPicPr>
        <xdr:cNvPr id="2" name="Picture 1" descr="davies_response_logov2.JPG">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cstate="print"/>
        <a:stretch>
          <a:fillRect/>
        </a:stretch>
      </xdr:blipFill>
      <xdr:spPr>
        <a:xfrm>
          <a:off x="7124700" y="114300"/>
          <a:ext cx="1801572" cy="529211"/>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7</xdr:col>
      <xdr:colOff>28575</xdr:colOff>
      <xdr:row>1</xdr:row>
      <xdr:rowOff>47625</xdr:rowOff>
    </xdr:from>
    <xdr:to>
      <xdr:col>9</xdr:col>
      <xdr:colOff>342964</xdr:colOff>
      <xdr:row>4</xdr:row>
      <xdr:rowOff>87886</xdr:rowOff>
    </xdr:to>
    <xdr:pic>
      <xdr:nvPicPr>
        <xdr:cNvPr id="2" name="Picture 1" descr="davies_response_logov2.JPG">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cstate="print"/>
        <a:stretch>
          <a:fillRect/>
        </a:stretch>
      </xdr:blipFill>
      <xdr:spPr>
        <a:xfrm>
          <a:off x="6800850" y="209550"/>
          <a:ext cx="1790764" cy="526036"/>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5</xdr:col>
      <xdr:colOff>1019322</xdr:colOff>
      <xdr:row>0</xdr:row>
      <xdr:rowOff>95249</xdr:rowOff>
    </xdr:from>
    <xdr:to>
      <xdr:col>7</xdr:col>
      <xdr:colOff>904727</xdr:colOff>
      <xdr:row>2</xdr:row>
      <xdr:rowOff>181839</xdr:rowOff>
    </xdr:to>
    <xdr:pic>
      <xdr:nvPicPr>
        <xdr:cNvPr id="2" name="Picture 53">
          <a:extLst>
            <a:ext uri="{FF2B5EF4-FFF2-40B4-BE49-F238E27FC236}">
              <a16:creationId xmlns:a16="http://schemas.microsoft.com/office/drawing/2014/main" id="{00000000-0008-0000-0C00-000002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5210322" y="95249"/>
          <a:ext cx="1980905" cy="581890"/>
        </a:xfrm>
        <a:prstGeom prst="rect">
          <a:avLst/>
        </a:prstGeom>
        <a:noFill/>
        <a:ln w="9525">
          <a:noFill/>
          <a:miter lim="800000"/>
          <a:headEnd/>
          <a:tailEnd/>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6</xdr:col>
      <xdr:colOff>142476</xdr:colOff>
      <xdr:row>1</xdr:row>
      <xdr:rowOff>0</xdr:rowOff>
    </xdr:from>
    <xdr:to>
      <xdr:col>7</xdr:col>
      <xdr:colOff>565364</xdr:colOff>
      <xdr:row>3</xdr:row>
      <xdr:rowOff>108149</xdr:rowOff>
    </xdr:to>
    <xdr:pic>
      <xdr:nvPicPr>
        <xdr:cNvPr id="3" name="Picture 2" descr="davies_response_logo.jpg">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cstate="print"/>
        <a:stretch>
          <a:fillRect/>
        </a:stretch>
      </xdr:blipFill>
      <xdr:spPr>
        <a:xfrm>
          <a:off x="5495526" y="266700"/>
          <a:ext cx="1470638" cy="43199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dc01-ashford/RedirectedFolders/Users/chris%20walker/AppData/Local/Microsoft/Windows/Temporary%20Internet%20Files/Content.Outlook/X0PY830F/Master%20Report%2030%204%2012%20V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sheet"/>
      <sheetName val="Incident report"/>
      <sheetName val="LV estimate charges"/>
      <sheetName val="LV Price List"/>
      <sheetName val="EOW Room Rate"/>
      <sheetName val="NON LV estimate charges"/>
      <sheetName val="Strip Out Works"/>
      <sheetName val="Property Worksheet Do Not Print"/>
      <sheetName val="LA Costings"/>
      <sheetName val="Room Worksheet"/>
      <sheetName val="Measurements"/>
      <sheetName val="Data Table"/>
      <sheetName val="Risk Assessment Do Not Print"/>
      <sheetName val="Equipment Log"/>
      <sheetName val="Operator Visit Log"/>
      <sheetName val="Moisture Record Log"/>
      <sheetName val="Inventory List"/>
      <sheetName val="Items for BER"/>
      <sheetName val="Items for Storage"/>
      <sheetName val="Items to be Restored"/>
      <sheetName val="Photos Do Not Print"/>
      <sheetName val="Final Readings Do Not Print"/>
      <sheetName val="Completion Note Do Not Print"/>
      <sheetName val="Final Costings"/>
      <sheetName val="Electricity Usage Do Not Print"/>
      <sheetName val="Measurements Response Only"/>
      <sheetName val="Internal Op Notes Do Not Print"/>
    </sheetNames>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7.xml"/><Relationship Id="rId1" Type="http://schemas.openxmlformats.org/officeDocument/2006/relationships/printerSettings" Target="../printerSettings/printerSettings7.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M27"/>
  <sheetViews>
    <sheetView showGridLines="0" workbookViewId="0">
      <selection activeCell="E13" sqref="E13:G13"/>
    </sheetView>
  </sheetViews>
  <sheetFormatPr defaultColWidth="0" defaultRowHeight="14.4" zeroHeight="1"/>
  <cols>
    <col min="1" max="1" width="1.6640625" style="72" customWidth="1"/>
    <col min="2" max="2" width="40.44140625" style="72" bestFit="1" customWidth="1"/>
    <col min="3" max="3" width="67.44140625" style="72" customWidth="1"/>
    <col min="4" max="4" width="1.6640625" style="72" customWidth="1"/>
    <col min="5" max="7" width="10.6640625" style="72" customWidth="1"/>
    <col min="8" max="8" width="1.6640625" style="72" customWidth="1"/>
    <col min="9" max="9" width="9.109375" style="72" hidden="1" customWidth="1"/>
    <col min="10" max="11" width="0" style="72" hidden="1" customWidth="1"/>
    <col min="12" max="12" width="9.109375" style="72" hidden="1" customWidth="1"/>
    <col min="13" max="13" width="0" style="72" hidden="1" customWidth="1"/>
    <col min="14" max="16384" width="9.109375" style="72" hidden="1"/>
  </cols>
  <sheetData>
    <row r="1" spans="2:7"/>
    <row r="2" spans="2:7"/>
    <row r="3" spans="2:7"/>
    <row r="4" spans="2:7"/>
    <row r="5" spans="2:7">
      <c r="B5" s="173" t="s">
        <v>0</v>
      </c>
      <c r="C5" s="172"/>
      <c r="E5" s="193" t="s">
        <v>1</v>
      </c>
      <c r="F5" s="193"/>
      <c r="G5" s="193"/>
    </row>
    <row r="6" spans="2:7">
      <c r="B6" s="173" t="s">
        <v>2</v>
      </c>
      <c r="C6" s="172"/>
      <c r="E6" s="194" t="s">
        <v>3</v>
      </c>
      <c r="F6" s="194"/>
      <c r="G6" s="194"/>
    </row>
    <row r="7" spans="2:7">
      <c r="B7" s="173" t="s">
        <v>4</v>
      </c>
      <c r="C7" s="172"/>
      <c r="E7" s="194" t="s">
        <v>5</v>
      </c>
      <c r="F7" s="194"/>
      <c r="G7" s="194"/>
    </row>
    <row r="8" spans="2:7">
      <c r="B8" s="173" t="s">
        <v>6</v>
      </c>
      <c r="C8" s="172"/>
      <c r="E8" s="195" t="s">
        <v>7</v>
      </c>
      <c r="F8" s="194"/>
      <c r="G8" s="194"/>
    </row>
    <row r="9" spans="2:7">
      <c r="B9" s="173" t="s">
        <v>8</v>
      </c>
      <c r="C9" s="172"/>
      <c r="E9" s="195" t="s">
        <v>9</v>
      </c>
      <c r="F9" s="194"/>
      <c r="G9" s="194"/>
    </row>
    <row r="10" spans="2:7">
      <c r="B10" s="173" t="s">
        <v>10</v>
      </c>
      <c r="C10" s="172"/>
      <c r="E10" s="194" t="s">
        <v>11</v>
      </c>
      <c r="F10" s="194"/>
      <c r="G10" s="194"/>
    </row>
    <row r="11" spans="2:7">
      <c r="B11" s="173" t="s">
        <v>12</v>
      </c>
      <c r="C11" s="172"/>
      <c r="E11" s="195" t="s">
        <v>13</v>
      </c>
      <c r="F11" s="194"/>
      <c r="G11" s="194"/>
    </row>
    <row r="12" spans="2:7">
      <c r="B12" s="173" t="s">
        <v>14</v>
      </c>
      <c r="C12" s="172"/>
      <c r="E12" s="195" t="s">
        <v>15</v>
      </c>
      <c r="F12" s="194"/>
      <c r="G12" s="194"/>
    </row>
    <row r="13" spans="2:7">
      <c r="B13" s="173" t="s">
        <v>16</v>
      </c>
      <c r="C13" s="172"/>
      <c r="E13" s="195" t="s">
        <v>17</v>
      </c>
      <c r="F13" s="194"/>
      <c r="G13" s="194"/>
    </row>
    <row r="14" spans="2:7">
      <c r="B14" s="173" t="s">
        <v>18</v>
      </c>
      <c r="C14" s="172"/>
      <c r="E14" s="190" t="s">
        <v>19</v>
      </c>
      <c r="F14" s="191"/>
      <c r="G14" s="192"/>
    </row>
    <row r="15" spans="2:7">
      <c r="B15" s="173" t="s">
        <v>20</v>
      </c>
      <c r="C15" s="172"/>
      <c r="E15" s="195" t="s">
        <v>21</v>
      </c>
      <c r="F15" s="194"/>
      <c r="G15" s="194"/>
    </row>
    <row r="16" spans="2:7">
      <c r="B16" s="173" t="s">
        <v>22</v>
      </c>
      <c r="C16" s="172"/>
      <c r="E16" s="194" t="s">
        <v>23</v>
      </c>
      <c r="F16" s="194"/>
      <c r="G16" s="194"/>
    </row>
    <row r="17" spans="2:7">
      <c r="B17" s="173" t="s">
        <v>24</v>
      </c>
      <c r="C17" s="172"/>
      <c r="E17" s="195" t="s">
        <v>25</v>
      </c>
      <c r="F17" s="194"/>
      <c r="G17" s="194"/>
    </row>
    <row r="18" spans="2:7">
      <c r="B18" s="173" t="s">
        <v>26</v>
      </c>
      <c r="C18" s="172"/>
      <c r="E18" s="194" t="s">
        <v>27</v>
      </c>
      <c r="F18" s="194"/>
      <c r="G18" s="194"/>
    </row>
    <row r="19" spans="2:7">
      <c r="B19" s="173" t="s">
        <v>28</v>
      </c>
      <c r="C19" s="172"/>
    </row>
    <row r="20" spans="2:7">
      <c r="B20" s="173" t="s">
        <v>29</v>
      </c>
      <c r="C20" s="172"/>
    </row>
    <row r="21" spans="2:7">
      <c r="B21" s="173" t="s">
        <v>30</v>
      </c>
      <c r="C21" s="172"/>
    </row>
    <row r="22" spans="2:7">
      <c r="B22" s="173" t="s">
        <v>31</v>
      </c>
      <c r="C22" s="172"/>
    </row>
    <row r="23" spans="2:7">
      <c r="B23" s="173" t="s">
        <v>32</v>
      </c>
      <c r="C23" s="172"/>
    </row>
    <row r="24" spans="2:7">
      <c r="B24" s="173" t="s">
        <v>33</v>
      </c>
      <c r="C24" s="172"/>
    </row>
    <row r="25" spans="2:7">
      <c r="B25" s="173" t="s">
        <v>34</v>
      </c>
      <c r="C25" s="172"/>
    </row>
    <row r="26" spans="2:7">
      <c r="B26" s="173" t="s">
        <v>35</v>
      </c>
      <c r="C26" s="172"/>
    </row>
    <row r="27" spans="2:7"/>
  </sheetData>
  <mergeCells count="14">
    <mergeCell ref="E14:G14"/>
    <mergeCell ref="E5:G5"/>
    <mergeCell ref="E16:G16"/>
    <mergeCell ref="E17:G17"/>
    <mergeCell ref="E18:G18"/>
    <mergeCell ref="E6:G6"/>
    <mergeCell ref="E7:G7"/>
    <mergeCell ref="E8:G8"/>
    <mergeCell ref="E9:G9"/>
    <mergeCell ref="E10:G10"/>
    <mergeCell ref="E11:G11"/>
    <mergeCell ref="E13:G13"/>
    <mergeCell ref="E12:G12"/>
    <mergeCell ref="E15:G15"/>
  </mergeCells>
  <hyperlinks>
    <hyperlink ref="E6:G6" location="'Final Moisture Readings'!A1" display="Final Moisture Readings" xr:uid="{00000000-0004-0000-0000-000000000000}"/>
    <hyperlink ref="E7:G7" location="'Completion Note'!A1" display="Completion Note" xr:uid="{00000000-0004-0000-0000-000001000000}"/>
    <hyperlink ref="E8:G8" location="'Strip Out Works'!A1" display="'Strip Out Works" xr:uid="{00000000-0004-0000-0000-000002000000}"/>
    <hyperlink ref="E9:G9" location="'Electricity Usage'!A1" display="'Electricity Usage" xr:uid="{00000000-0004-0000-0000-000003000000}"/>
    <hyperlink ref="E10:G10" location="Measurements!A1" display="Measurements" xr:uid="{00000000-0004-0000-0000-000004000000}"/>
    <hyperlink ref="E11:G11" location="'Risk Assessment'!A1" display="'Risk Assessment" xr:uid="{00000000-0004-0000-0000-000005000000}"/>
    <hyperlink ref="E13:G13" location="'BER List'!A1" display="'BER List" xr:uid="{00000000-0004-0000-0000-000006000000}"/>
    <hyperlink ref="E12:G12" location="'PAT Test'!A1" display="'PAT Test" xr:uid="{00000000-0004-0000-0000-000007000000}"/>
    <hyperlink ref="E15:G15" location="'Furniture Restoration'!A1" display="'Furniture Restoration" xr:uid="{00000000-0004-0000-0000-000008000000}"/>
    <hyperlink ref="E16:G16" location="'Dry Cleaning &amp; Laundry'!A1" display="Dry Cleaning &amp; Laundry" xr:uid="{00000000-0004-0000-0000-000009000000}"/>
    <hyperlink ref="E17:G17" location="'Drying Method Justification'!A1" display="'Drying Method Justification" xr:uid="{00000000-0004-0000-0000-00000A000000}"/>
    <hyperlink ref="E18:G18" location="'Removal &amp; Storage Requirement'!A1" display="Removal &amp; Storage Requirement" xr:uid="{00000000-0004-0000-0000-00000B000000}"/>
    <hyperlink ref="E14:G14" location="'Contents Inventory'!A1" display="'Contents Inventory" xr:uid="{00000000-0004-0000-0000-00000C000000}"/>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5">
    <pageSetUpPr fitToPage="1"/>
  </sheetPr>
  <dimension ref="A1:O78"/>
  <sheetViews>
    <sheetView showGridLines="0" showZeros="0" zoomScaleNormal="100" workbookViewId="0">
      <selection activeCell="I74" sqref="I74:K74"/>
    </sheetView>
  </sheetViews>
  <sheetFormatPr defaultColWidth="0" defaultRowHeight="14.4" zeroHeight="1"/>
  <cols>
    <col min="1" max="1" width="1.6640625" style="90" customWidth="1"/>
    <col min="2" max="3" width="9.109375" style="90" customWidth="1"/>
    <col min="4" max="4" width="13.77734375" style="90" bestFit="1" customWidth="1"/>
    <col min="5" max="5" width="14.33203125" style="19" customWidth="1"/>
    <col min="6" max="6" width="15.44140625" style="19" bestFit="1" customWidth="1"/>
    <col min="7" max="7" width="11.77734375" style="90" bestFit="1" customWidth="1"/>
    <col min="8" max="10" width="9.109375" style="90" customWidth="1"/>
    <col min="11" max="11" width="13.77734375" style="90" bestFit="1" customWidth="1"/>
    <col min="12" max="13" width="13.77734375" style="19" bestFit="1" customWidth="1"/>
    <col min="14" max="14" width="10.44140625" style="90" bestFit="1" customWidth="1"/>
    <col min="15" max="15" width="1.6640625" style="90" customWidth="1"/>
    <col min="16" max="16384" width="9.109375" style="90" hidden="1"/>
  </cols>
  <sheetData>
    <row r="1" spans="2:14">
      <c r="B1" s="92"/>
      <c r="C1" s="92"/>
      <c r="D1" s="92"/>
      <c r="E1" s="93"/>
      <c r="F1" s="93"/>
      <c r="G1" s="92"/>
      <c r="H1" s="92"/>
      <c r="I1" s="92"/>
      <c r="J1" s="92"/>
      <c r="K1" s="92"/>
      <c r="L1" s="93"/>
      <c r="M1" s="93"/>
      <c r="N1" s="92"/>
    </row>
    <row r="2" spans="2:14">
      <c r="B2" s="92"/>
      <c r="C2" s="92"/>
      <c r="D2" s="92"/>
      <c r="E2" s="93"/>
      <c r="F2" s="93"/>
      <c r="G2" s="92"/>
      <c r="H2" s="92"/>
      <c r="I2" s="92"/>
      <c r="J2" s="92"/>
      <c r="K2" s="92"/>
      <c r="L2" s="93"/>
      <c r="M2" s="93"/>
      <c r="N2" s="92"/>
    </row>
    <row r="3" spans="2:14">
      <c r="B3" s="92"/>
      <c r="C3" s="92"/>
      <c r="D3" s="92"/>
      <c r="E3" s="93"/>
      <c r="F3" s="93"/>
      <c r="G3" s="92"/>
      <c r="H3" s="92"/>
      <c r="I3" s="92"/>
      <c r="J3" s="92"/>
      <c r="K3" s="92"/>
      <c r="L3" s="93"/>
      <c r="M3" s="93"/>
      <c r="N3" s="92"/>
    </row>
    <row r="4" spans="2:14">
      <c r="B4" s="92"/>
      <c r="C4" s="92"/>
      <c r="D4" s="92"/>
      <c r="E4" s="93"/>
      <c r="F4" s="93"/>
      <c r="G4" s="92"/>
      <c r="H4" s="92"/>
      <c r="I4" s="92"/>
      <c r="J4" s="92"/>
      <c r="K4" s="92"/>
      <c r="L4" s="93"/>
      <c r="M4" s="93"/>
      <c r="N4" s="92"/>
    </row>
    <row r="5" spans="2:14">
      <c r="B5" s="212" t="s">
        <v>36</v>
      </c>
      <c r="C5" s="212"/>
      <c r="D5" s="212"/>
      <c r="E5" s="212"/>
      <c r="F5" s="212"/>
      <c r="G5" s="212"/>
      <c r="H5" s="212"/>
      <c r="I5" s="212"/>
      <c r="J5" s="212"/>
      <c r="K5" s="212"/>
      <c r="L5" s="212"/>
      <c r="M5" s="212"/>
      <c r="N5" s="212"/>
    </row>
    <row r="6" spans="2:14">
      <c r="B6" s="212"/>
      <c r="C6" s="212"/>
      <c r="D6" s="212"/>
      <c r="E6" s="212"/>
      <c r="F6" s="212"/>
      <c r="G6" s="212"/>
      <c r="H6" s="212"/>
      <c r="I6" s="212"/>
      <c r="J6" s="212"/>
      <c r="K6" s="212"/>
      <c r="L6" s="212"/>
      <c r="M6" s="212"/>
      <c r="N6" s="212"/>
    </row>
    <row r="7" spans="2:14">
      <c r="B7" s="1"/>
      <c r="C7" s="1"/>
      <c r="D7" s="1"/>
      <c r="E7" s="20"/>
      <c r="F7" s="20"/>
      <c r="G7" s="1"/>
      <c r="H7" s="1"/>
      <c r="I7" s="1"/>
      <c r="J7" s="1"/>
      <c r="K7" s="1"/>
      <c r="L7" s="20"/>
      <c r="M7" s="20"/>
      <c r="N7" s="1"/>
    </row>
    <row r="8" spans="2:14" ht="8.25" customHeight="1">
      <c r="B8" s="2"/>
      <c r="C8" s="2"/>
      <c r="D8" s="2"/>
      <c r="E8" s="21"/>
      <c r="F8" s="21"/>
      <c r="G8" s="2"/>
      <c r="H8" s="2"/>
      <c r="I8" s="3"/>
      <c r="J8" s="2"/>
      <c r="K8" s="2"/>
      <c r="L8" s="21"/>
      <c r="M8" s="21"/>
      <c r="N8" s="2"/>
    </row>
    <row r="9" spans="2:14" ht="79.5" customHeight="1">
      <c r="B9" s="213" t="s">
        <v>37</v>
      </c>
      <c r="C9" s="213"/>
      <c r="D9" s="213"/>
      <c r="E9" s="213"/>
      <c r="F9" s="213"/>
      <c r="G9" s="213"/>
      <c r="H9" s="213"/>
      <c r="I9" s="213"/>
      <c r="J9" s="213"/>
      <c r="K9" s="213"/>
      <c r="L9" s="213"/>
      <c r="M9" s="213"/>
      <c r="N9" s="213"/>
    </row>
    <row r="10" spans="2:14">
      <c r="B10" s="1"/>
      <c r="C10" s="1"/>
      <c r="D10" s="1"/>
      <c r="E10" s="20"/>
      <c r="F10" s="20"/>
      <c r="G10" s="1"/>
      <c r="H10" s="1"/>
      <c r="I10" s="1"/>
      <c r="J10" s="1"/>
      <c r="K10" s="1"/>
      <c r="L10" s="20"/>
      <c r="M10" s="20"/>
      <c r="N10" s="1"/>
    </row>
    <row r="11" spans="2:14">
      <c r="B11" s="196" t="s">
        <v>38</v>
      </c>
      <c r="C11" s="196"/>
      <c r="D11" s="196"/>
      <c r="E11" s="197">
        <f>HOME!C6</f>
        <v>0</v>
      </c>
      <c r="F11" s="197"/>
      <c r="G11" s="197"/>
      <c r="H11" s="4"/>
      <c r="I11" s="196" t="s">
        <v>39</v>
      </c>
      <c r="J11" s="196"/>
      <c r="K11" s="198"/>
      <c r="L11" s="199">
        <f>HOME!C7</f>
        <v>0</v>
      </c>
      <c r="M11" s="200"/>
      <c r="N11" s="201"/>
    </row>
    <row r="12" spans="2:14">
      <c r="B12" s="5"/>
      <c r="C12" s="5"/>
      <c r="D12" s="5"/>
      <c r="E12" s="22"/>
      <c r="F12" s="22"/>
      <c r="G12" s="6"/>
      <c r="H12" s="6"/>
      <c r="I12" s="2"/>
      <c r="J12" s="2"/>
      <c r="K12" s="2"/>
      <c r="L12" s="202"/>
      <c r="M12" s="203"/>
      <c r="N12" s="204"/>
    </row>
    <row r="13" spans="2:14">
      <c r="B13" s="196" t="s">
        <v>40</v>
      </c>
      <c r="C13" s="196"/>
      <c r="D13" s="196"/>
      <c r="E13" s="211">
        <f>HOME!C5</f>
        <v>0</v>
      </c>
      <c r="F13" s="211"/>
      <c r="G13" s="211"/>
      <c r="H13" s="7"/>
      <c r="I13" s="2"/>
      <c r="J13" s="2"/>
      <c r="K13" s="2"/>
      <c r="L13" s="202"/>
      <c r="M13" s="203"/>
      <c r="N13" s="204"/>
    </row>
    <row r="14" spans="2:14">
      <c r="B14" s="2"/>
      <c r="C14" s="2"/>
      <c r="D14" s="2"/>
      <c r="E14" s="21"/>
      <c r="F14" s="21"/>
      <c r="G14" s="2"/>
      <c r="H14" s="8"/>
      <c r="I14" s="2"/>
      <c r="J14" s="2"/>
      <c r="K14" s="2"/>
      <c r="L14" s="205"/>
      <c r="M14" s="206"/>
      <c r="N14" s="207"/>
    </row>
    <row r="15" spans="2:14">
      <c r="B15" s="196" t="s">
        <v>41</v>
      </c>
      <c r="C15" s="196"/>
      <c r="D15" s="196"/>
      <c r="E15" s="197"/>
      <c r="F15" s="197"/>
      <c r="G15" s="197"/>
      <c r="H15" s="7"/>
      <c r="I15" s="196" t="s">
        <v>6</v>
      </c>
      <c r="J15" s="196"/>
      <c r="K15" s="198"/>
      <c r="L15" s="208">
        <f>HOME!C8</f>
        <v>0</v>
      </c>
      <c r="M15" s="209"/>
      <c r="N15" s="210"/>
    </row>
    <row r="16" spans="2:14">
      <c r="B16" s="2"/>
      <c r="C16" s="2"/>
      <c r="D16" s="2"/>
      <c r="E16" s="21"/>
      <c r="F16" s="21"/>
      <c r="G16" s="2"/>
      <c r="H16" s="2"/>
      <c r="I16" s="2"/>
      <c r="J16" s="2"/>
      <c r="K16" s="2"/>
      <c r="L16" s="21"/>
      <c r="M16" s="21"/>
      <c r="N16" s="2"/>
    </row>
    <row r="17" spans="2:14" s="91" customFormat="1">
      <c r="B17" s="213" t="s">
        <v>42</v>
      </c>
      <c r="C17" s="213"/>
      <c r="D17" s="174" t="s">
        <v>43</v>
      </c>
      <c r="E17" s="135" t="s">
        <v>44</v>
      </c>
      <c r="F17" s="135" t="s">
        <v>45</v>
      </c>
      <c r="G17" s="175" t="s">
        <v>46</v>
      </c>
      <c r="H17" s="217"/>
      <c r="I17" s="224" t="s">
        <v>42</v>
      </c>
      <c r="J17" s="213"/>
      <c r="K17" s="174" t="s">
        <v>43</v>
      </c>
      <c r="L17" s="135" t="s">
        <v>44</v>
      </c>
      <c r="M17" s="135" t="s">
        <v>45</v>
      </c>
      <c r="N17" s="174" t="s">
        <v>46</v>
      </c>
    </row>
    <row r="18" spans="2:14">
      <c r="B18" s="216">
        <f>HOME!C15</f>
        <v>0</v>
      </c>
      <c r="C18" s="216"/>
      <c r="D18" s="15"/>
      <c r="E18" s="23"/>
      <c r="F18" s="23"/>
      <c r="G18" s="16"/>
      <c r="H18" s="217"/>
      <c r="I18" s="215">
        <f>HOME!C21</f>
        <v>0</v>
      </c>
      <c r="J18" s="216"/>
      <c r="K18" s="15"/>
      <c r="L18" s="23"/>
      <c r="M18" s="23"/>
      <c r="N18" s="18"/>
    </row>
    <row r="19" spans="2:14">
      <c r="B19" s="216"/>
      <c r="C19" s="216"/>
      <c r="D19" s="15"/>
      <c r="E19" s="23"/>
      <c r="F19" s="23"/>
      <c r="G19" s="16"/>
      <c r="H19" s="217"/>
      <c r="I19" s="215"/>
      <c r="J19" s="216"/>
      <c r="K19" s="15"/>
      <c r="L19" s="23"/>
      <c r="M19" s="23"/>
      <c r="N19" s="18"/>
    </row>
    <row r="20" spans="2:14">
      <c r="B20" s="216"/>
      <c r="C20" s="216"/>
      <c r="D20" s="15"/>
      <c r="E20" s="23"/>
      <c r="F20" s="23"/>
      <c r="G20" s="16"/>
      <c r="H20" s="217"/>
      <c r="I20" s="215"/>
      <c r="J20" s="216"/>
      <c r="K20" s="15"/>
      <c r="L20" s="23"/>
      <c r="M20" s="23"/>
      <c r="N20" s="18"/>
    </row>
    <row r="21" spans="2:14">
      <c r="B21" s="216"/>
      <c r="C21" s="216"/>
      <c r="D21" s="15"/>
      <c r="E21" s="23"/>
      <c r="F21" s="23"/>
      <c r="G21" s="16"/>
      <c r="H21" s="217"/>
      <c r="I21" s="215"/>
      <c r="J21" s="216"/>
      <c r="K21" s="15"/>
      <c r="L21" s="23"/>
      <c r="M21" s="23"/>
      <c r="N21" s="18"/>
    </row>
    <row r="22" spans="2:14">
      <c r="B22" s="216"/>
      <c r="C22" s="216"/>
      <c r="D22" s="15"/>
      <c r="E22" s="23"/>
      <c r="F22" s="23"/>
      <c r="G22" s="16"/>
      <c r="H22" s="217"/>
      <c r="I22" s="215"/>
      <c r="J22" s="216"/>
      <c r="K22" s="15"/>
      <c r="L22" s="23"/>
      <c r="M22" s="23"/>
      <c r="N22" s="18"/>
    </row>
    <row r="23" spans="2:14">
      <c r="B23" s="216"/>
      <c r="C23" s="216"/>
      <c r="D23" s="15"/>
      <c r="E23" s="23"/>
      <c r="F23" s="23"/>
      <c r="G23" s="16"/>
      <c r="H23" s="217"/>
      <c r="I23" s="215"/>
      <c r="J23" s="216"/>
      <c r="K23" s="15"/>
      <c r="L23" s="23"/>
      <c r="M23" s="23"/>
      <c r="N23" s="18"/>
    </row>
    <row r="24" spans="2:14">
      <c r="B24" s="218">
        <f>HOME!C16</f>
        <v>0</v>
      </c>
      <c r="C24" s="219"/>
      <c r="D24" s="15"/>
      <c r="E24" s="23"/>
      <c r="F24" s="23"/>
      <c r="G24" s="17"/>
      <c r="H24" s="217"/>
      <c r="I24" s="215">
        <f>HOME!C22</f>
        <v>0</v>
      </c>
      <c r="J24" s="216"/>
      <c r="K24" s="15"/>
      <c r="L24" s="23"/>
      <c r="M24" s="23"/>
      <c r="N24" s="18"/>
    </row>
    <row r="25" spans="2:14">
      <c r="B25" s="220"/>
      <c r="C25" s="221"/>
      <c r="D25" s="15"/>
      <c r="E25" s="23"/>
      <c r="F25" s="23"/>
      <c r="G25" s="16"/>
      <c r="H25" s="217"/>
      <c r="I25" s="215"/>
      <c r="J25" s="216"/>
      <c r="K25" s="15"/>
      <c r="L25" s="23"/>
      <c r="M25" s="23"/>
      <c r="N25" s="18"/>
    </row>
    <row r="26" spans="2:14">
      <c r="B26" s="220"/>
      <c r="C26" s="221"/>
      <c r="D26" s="15"/>
      <c r="E26" s="23"/>
      <c r="F26" s="23"/>
      <c r="G26" s="16"/>
      <c r="H26" s="217"/>
      <c r="I26" s="215"/>
      <c r="J26" s="216"/>
      <c r="K26" s="15"/>
      <c r="L26" s="23"/>
      <c r="M26" s="23"/>
      <c r="N26" s="18"/>
    </row>
    <row r="27" spans="2:14">
      <c r="B27" s="220"/>
      <c r="C27" s="221"/>
      <c r="D27" s="15"/>
      <c r="E27" s="23"/>
      <c r="F27" s="23"/>
      <c r="G27" s="16"/>
      <c r="H27" s="217"/>
      <c r="I27" s="215"/>
      <c r="J27" s="216"/>
      <c r="K27" s="15"/>
      <c r="L27" s="23"/>
      <c r="M27" s="23"/>
      <c r="N27" s="18"/>
    </row>
    <row r="28" spans="2:14">
      <c r="B28" s="220"/>
      <c r="C28" s="221"/>
      <c r="D28" s="15"/>
      <c r="E28" s="23"/>
      <c r="F28" s="23"/>
      <c r="G28" s="16"/>
      <c r="H28" s="217"/>
      <c r="I28" s="215"/>
      <c r="J28" s="216"/>
      <c r="K28" s="15"/>
      <c r="L28" s="23"/>
      <c r="M28" s="23"/>
      <c r="N28" s="18"/>
    </row>
    <row r="29" spans="2:14">
      <c r="B29" s="222"/>
      <c r="C29" s="223"/>
      <c r="D29" s="15"/>
      <c r="E29" s="23"/>
      <c r="F29" s="23"/>
      <c r="G29" s="16"/>
      <c r="H29" s="217"/>
      <c r="I29" s="215"/>
      <c r="J29" s="216"/>
      <c r="K29" s="15"/>
      <c r="L29" s="23"/>
      <c r="M29" s="23"/>
      <c r="N29" s="18"/>
    </row>
    <row r="30" spans="2:14">
      <c r="B30" s="216">
        <f>HOME!C17</f>
        <v>0</v>
      </c>
      <c r="C30" s="216"/>
      <c r="D30" s="15"/>
      <c r="E30" s="23"/>
      <c r="F30" s="23"/>
      <c r="G30" s="16"/>
      <c r="H30" s="217"/>
      <c r="I30" s="215">
        <f>HOME!C23</f>
        <v>0</v>
      </c>
      <c r="J30" s="216"/>
      <c r="K30" s="15"/>
      <c r="L30" s="23"/>
      <c r="M30" s="23"/>
      <c r="N30" s="18"/>
    </row>
    <row r="31" spans="2:14">
      <c r="B31" s="216"/>
      <c r="C31" s="216"/>
      <c r="D31" s="15"/>
      <c r="E31" s="23"/>
      <c r="F31" s="23"/>
      <c r="G31" s="16"/>
      <c r="H31" s="217"/>
      <c r="I31" s="215"/>
      <c r="J31" s="216"/>
      <c r="K31" s="15"/>
      <c r="L31" s="23"/>
      <c r="M31" s="23"/>
      <c r="N31" s="18"/>
    </row>
    <row r="32" spans="2:14">
      <c r="B32" s="216"/>
      <c r="C32" s="216"/>
      <c r="D32" s="15"/>
      <c r="E32" s="23"/>
      <c r="F32" s="23"/>
      <c r="G32" s="16"/>
      <c r="H32" s="217"/>
      <c r="I32" s="215"/>
      <c r="J32" s="216"/>
      <c r="K32" s="15"/>
      <c r="L32" s="23"/>
      <c r="M32" s="23"/>
      <c r="N32" s="18"/>
    </row>
    <row r="33" spans="2:14">
      <c r="B33" s="216"/>
      <c r="C33" s="216"/>
      <c r="D33" s="15"/>
      <c r="E33" s="23"/>
      <c r="F33" s="23"/>
      <c r="G33" s="16"/>
      <c r="H33" s="217"/>
      <c r="I33" s="215"/>
      <c r="J33" s="216"/>
      <c r="K33" s="15"/>
      <c r="L33" s="23"/>
      <c r="M33" s="23"/>
      <c r="N33" s="18"/>
    </row>
    <row r="34" spans="2:14">
      <c r="B34" s="216"/>
      <c r="C34" s="216"/>
      <c r="D34" s="15"/>
      <c r="E34" s="23"/>
      <c r="F34" s="23"/>
      <c r="G34" s="16"/>
      <c r="H34" s="217"/>
      <c r="I34" s="215"/>
      <c r="J34" s="216"/>
      <c r="K34" s="15"/>
      <c r="L34" s="23"/>
      <c r="M34" s="23"/>
      <c r="N34" s="18"/>
    </row>
    <row r="35" spans="2:14">
      <c r="B35" s="216"/>
      <c r="C35" s="216"/>
      <c r="D35" s="15"/>
      <c r="E35" s="23"/>
      <c r="F35" s="23"/>
      <c r="G35" s="16"/>
      <c r="H35" s="217"/>
      <c r="I35" s="215"/>
      <c r="J35" s="216"/>
      <c r="K35" s="15"/>
      <c r="L35" s="23"/>
      <c r="M35" s="23"/>
      <c r="N35" s="18"/>
    </row>
    <row r="36" spans="2:14">
      <c r="B36" s="218">
        <f>HOME!C18</f>
        <v>0</v>
      </c>
      <c r="C36" s="219"/>
      <c r="D36" s="15"/>
      <c r="E36" s="23"/>
      <c r="F36" s="23"/>
      <c r="G36" s="16"/>
      <c r="H36" s="217"/>
      <c r="I36" s="215">
        <f>HOME!C24</f>
        <v>0</v>
      </c>
      <c r="J36" s="216"/>
      <c r="K36" s="15"/>
      <c r="L36" s="23"/>
      <c r="M36" s="23"/>
      <c r="N36" s="18"/>
    </row>
    <row r="37" spans="2:14">
      <c r="B37" s="220"/>
      <c r="C37" s="221"/>
      <c r="D37" s="15"/>
      <c r="E37" s="23"/>
      <c r="F37" s="23"/>
      <c r="G37" s="16"/>
      <c r="H37" s="217"/>
      <c r="I37" s="215"/>
      <c r="J37" s="216"/>
      <c r="K37" s="15"/>
      <c r="L37" s="23"/>
      <c r="M37" s="23"/>
      <c r="N37" s="18"/>
    </row>
    <row r="38" spans="2:14">
      <c r="B38" s="220"/>
      <c r="C38" s="221"/>
      <c r="D38" s="15"/>
      <c r="E38" s="23"/>
      <c r="F38" s="23"/>
      <c r="G38" s="16"/>
      <c r="H38" s="217"/>
      <c r="I38" s="215"/>
      <c r="J38" s="216"/>
      <c r="K38" s="15"/>
      <c r="L38" s="23"/>
      <c r="M38" s="23"/>
      <c r="N38" s="18"/>
    </row>
    <row r="39" spans="2:14">
      <c r="B39" s="220"/>
      <c r="C39" s="221"/>
      <c r="D39" s="15"/>
      <c r="E39" s="23"/>
      <c r="F39" s="23"/>
      <c r="G39" s="16"/>
      <c r="H39" s="217"/>
      <c r="I39" s="215"/>
      <c r="J39" s="216"/>
      <c r="K39" s="15"/>
      <c r="L39" s="23"/>
      <c r="M39" s="23"/>
      <c r="N39" s="18"/>
    </row>
    <row r="40" spans="2:14">
      <c r="B40" s="220"/>
      <c r="C40" s="221"/>
      <c r="D40" s="15"/>
      <c r="E40" s="23"/>
      <c r="F40" s="23"/>
      <c r="G40" s="16"/>
      <c r="H40" s="217"/>
      <c r="I40" s="215"/>
      <c r="J40" s="216"/>
      <c r="K40" s="15"/>
      <c r="L40" s="23"/>
      <c r="M40" s="23"/>
      <c r="N40" s="18"/>
    </row>
    <row r="41" spans="2:14">
      <c r="B41" s="222"/>
      <c r="C41" s="223"/>
      <c r="D41" s="15"/>
      <c r="E41" s="23"/>
      <c r="F41" s="23"/>
      <c r="G41" s="16"/>
      <c r="H41" s="217"/>
      <c r="I41" s="215"/>
      <c r="J41" s="216"/>
      <c r="K41" s="15"/>
      <c r="L41" s="23"/>
      <c r="M41" s="23"/>
      <c r="N41" s="18"/>
    </row>
    <row r="42" spans="2:14">
      <c r="B42" s="218">
        <f>HOME!C19</f>
        <v>0</v>
      </c>
      <c r="C42" s="219"/>
      <c r="D42" s="15"/>
      <c r="E42" s="23"/>
      <c r="F42" s="23"/>
      <c r="G42" s="16"/>
      <c r="H42" s="217"/>
      <c r="I42" s="215">
        <f>HOME!C25</f>
        <v>0</v>
      </c>
      <c r="J42" s="216"/>
      <c r="K42" s="15"/>
      <c r="L42" s="23"/>
      <c r="M42" s="23"/>
      <c r="N42" s="18"/>
    </row>
    <row r="43" spans="2:14">
      <c r="B43" s="220"/>
      <c r="C43" s="221"/>
      <c r="D43" s="15"/>
      <c r="E43" s="23"/>
      <c r="F43" s="23"/>
      <c r="G43" s="16"/>
      <c r="H43" s="217"/>
      <c r="I43" s="215"/>
      <c r="J43" s="216"/>
      <c r="K43" s="15"/>
      <c r="L43" s="23"/>
      <c r="M43" s="23"/>
      <c r="N43" s="18"/>
    </row>
    <row r="44" spans="2:14">
      <c r="B44" s="220"/>
      <c r="C44" s="221"/>
      <c r="D44" s="15"/>
      <c r="E44" s="23"/>
      <c r="F44" s="23"/>
      <c r="G44" s="16"/>
      <c r="H44" s="217"/>
      <c r="I44" s="215"/>
      <c r="J44" s="216"/>
      <c r="K44" s="15"/>
      <c r="L44" s="23"/>
      <c r="M44" s="23"/>
      <c r="N44" s="18"/>
    </row>
    <row r="45" spans="2:14">
      <c r="B45" s="220"/>
      <c r="C45" s="221"/>
      <c r="D45" s="15"/>
      <c r="E45" s="23"/>
      <c r="F45" s="23"/>
      <c r="G45" s="16"/>
      <c r="H45" s="217"/>
      <c r="I45" s="215"/>
      <c r="J45" s="216"/>
      <c r="K45" s="15"/>
      <c r="L45" s="23"/>
      <c r="M45" s="23"/>
      <c r="N45" s="18"/>
    </row>
    <row r="46" spans="2:14">
      <c r="B46" s="220"/>
      <c r="C46" s="221"/>
      <c r="D46" s="15"/>
      <c r="E46" s="23"/>
      <c r="F46" s="23"/>
      <c r="G46" s="16"/>
      <c r="H46" s="217"/>
      <c r="I46" s="215"/>
      <c r="J46" s="216"/>
      <c r="K46" s="15"/>
      <c r="L46" s="23"/>
      <c r="M46" s="23"/>
      <c r="N46" s="18"/>
    </row>
    <row r="47" spans="2:14">
      <c r="B47" s="222"/>
      <c r="C47" s="223"/>
      <c r="D47" s="15"/>
      <c r="E47" s="23"/>
      <c r="F47" s="23"/>
      <c r="G47" s="16"/>
      <c r="H47" s="217"/>
      <c r="I47" s="215"/>
      <c r="J47" s="216"/>
      <c r="K47" s="15"/>
      <c r="L47" s="23"/>
      <c r="M47" s="23"/>
      <c r="N47" s="18"/>
    </row>
    <row r="48" spans="2:14">
      <c r="B48" s="218">
        <f>HOME!C20</f>
        <v>0</v>
      </c>
      <c r="C48" s="219"/>
      <c r="D48" s="15"/>
      <c r="E48" s="23"/>
      <c r="F48" s="23"/>
      <c r="G48" s="16"/>
      <c r="H48" s="217"/>
      <c r="I48" s="215">
        <f>HOME!C26</f>
        <v>0</v>
      </c>
      <c r="J48" s="216"/>
      <c r="K48" s="15"/>
      <c r="L48" s="23"/>
      <c r="M48" s="23"/>
      <c r="N48" s="18"/>
    </row>
    <row r="49" spans="2:14">
      <c r="B49" s="220"/>
      <c r="C49" s="221"/>
      <c r="D49" s="15"/>
      <c r="E49" s="23"/>
      <c r="F49" s="23"/>
      <c r="G49" s="16"/>
      <c r="H49" s="217"/>
      <c r="I49" s="215"/>
      <c r="J49" s="216"/>
      <c r="K49" s="15"/>
      <c r="L49" s="23"/>
      <c r="M49" s="23"/>
      <c r="N49" s="18"/>
    </row>
    <row r="50" spans="2:14">
      <c r="B50" s="220"/>
      <c r="C50" s="221"/>
      <c r="D50" s="15"/>
      <c r="E50" s="23"/>
      <c r="F50" s="23"/>
      <c r="G50" s="16"/>
      <c r="H50" s="217"/>
      <c r="I50" s="215"/>
      <c r="J50" s="216"/>
      <c r="K50" s="15"/>
      <c r="L50" s="23"/>
      <c r="M50" s="23"/>
      <c r="N50" s="18"/>
    </row>
    <row r="51" spans="2:14">
      <c r="B51" s="220"/>
      <c r="C51" s="221"/>
      <c r="D51" s="15"/>
      <c r="E51" s="23"/>
      <c r="F51" s="23"/>
      <c r="G51" s="16"/>
      <c r="H51" s="217"/>
      <c r="I51" s="215"/>
      <c r="J51" s="216"/>
      <c r="K51" s="15"/>
      <c r="L51" s="23"/>
      <c r="M51" s="23"/>
      <c r="N51" s="18"/>
    </row>
    <row r="52" spans="2:14">
      <c r="B52" s="220"/>
      <c r="C52" s="221"/>
      <c r="D52" s="15"/>
      <c r="E52" s="23"/>
      <c r="F52" s="23"/>
      <c r="G52" s="16"/>
      <c r="H52" s="217"/>
      <c r="I52" s="215"/>
      <c r="J52" s="216"/>
      <c r="K52" s="15"/>
      <c r="L52" s="23"/>
      <c r="M52" s="23"/>
      <c r="N52" s="18"/>
    </row>
    <row r="53" spans="2:14">
      <c r="B53" s="222"/>
      <c r="C53" s="223"/>
      <c r="D53" s="15"/>
      <c r="E53" s="23"/>
      <c r="F53" s="23"/>
      <c r="G53" s="18"/>
      <c r="H53" s="217"/>
      <c r="I53" s="215"/>
      <c r="J53" s="216"/>
      <c r="K53" s="15"/>
      <c r="L53" s="23"/>
      <c r="M53" s="23"/>
      <c r="N53" s="18"/>
    </row>
    <row r="54" spans="2:14">
      <c r="B54" s="1"/>
      <c r="C54" s="1"/>
      <c r="D54" s="9"/>
      <c r="E54" s="24"/>
      <c r="F54" s="24"/>
      <c r="G54" s="10"/>
      <c r="H54" s="10"/>
      <c r="I54" s="11"/>
      <c r="J54" s="11"/>
      <c r="K54" s="10"/>
      <c r="L54" s="24"/>
      <c r="M54" s="24"/>
      <c r="N54" s="10"/>
    </row>
    <row r="55" spans="2:14">
      <c r="B55" s="240" t="s">
        <v>47</v>
      </c>
      <c r="C55" s="241"/>
      <c r="D55" s="242"/>
      <c r="E55" s="214"/>
      <c r="F55" s="214"/>
      <c r="G55" s="214"/>
      <c r="H55" s="214"/>
      <c r="I55" s="214"/>
      <c r="J55" s="214"/>
      <c r="K55" s="214"/>
      <c r="L55" s="214"/>
      <c r="M55" s="214"/>
      <c r="N55" s="214"/>
    </row>
    <row r="56" spans="2:14">
      <c r="B56" s="243"/>
      <c r="C56" s="244"/>
      <c r="D56" s="245"/>
      <c r="E56" s="214"/>
      <c r="F56" s="214"/>
      <c r="G56" s="214"/>
      <c r="H56" s="214"/>
      <c r="I56" s="214"/>
      <c r="J56" s="214"/>
      <c r="K56" s="214"/>
      <c r="L56" s="214"/>
      <c r="M56" s="214"/>
      <c r="N56" s="214"/>
    </row>
    <row r="57" spans="2:14">
      <c r="B57" s="243"/>
      <c r="C57" s="244"/>
      <c r="D57" s="245"/>
      <c r="E57" s="214"/>
      <c r="F57" s="214"/>
      <c r="G57" s="214"/>
      <c r="H57" s="214"/>
      <c r="I57" s="214"/>
      <c r="J57" s="214"/>
      <c r="K57" s="214"/>
      <c r="L57" s="214"/>
      <c r="M57" s="214"/>
      <c r="N57" s="214"/>
    </row>
    <row r="58" spans="2:14">
      <c r="B58" s="196" t="s">
        <v>48</v>
      </c>
      <c r="C58" s="196"/>
      <c r="D58" s="196"/>
      <c r="E58" s="214"/>
      <c r="F58" s="214"/>
      <c r="G58" s="214"/>
      <c r="H58" s="214"/>
      <c r="I58" s="214"/>
      <c r="J58" s="214"/>
      <c r="K58" s="214"/>
      <c r="L58" s="214"/>
      <c r="M58" s="214"/>
      <c r="N58" s="214"/>
    </row>
    <row r="59" spans="2:14">
      <c r="B59" s="196"/>
      <c r="C59" s="196"/>
      <c r="D59" s="196"/>
      <c r="E59" s="214"/>
      <c r="F59" s="214"/>
      <c r="G59" s="214"/>
      <c r="H59" s="214"/>
      <c r="I59" s="214"/>
      <c r="J59" s="214"/>
      <c r="K59" s="214"/>
      <c r="L59" s="214"/>
      <c r="M59" s="214"/>
      <c r="N59" s="214"/>
    </row>
    <row r="60" spans="2:14">
      <c r="B60" s="196"/>
      <c r="C60" s="196"/>
      <c r="D60" s="196"/>
      <c r="E60" s="214"/>
      <c r="F60" s="214"/>
      <c r="G60" s="214"/>
      <c r="H60" s="214"/>
      <c r="I60" s="214"/>
      <c r="J60" s="214"/>
      <c r="K60" s="214"/>
      <c r="L60" s="214"/>
      <c r="M60" s="214"/>
      <c r="N60" s="214"/>
    </row>
    <row r="61" spans="2:14">
      <c r="B61" s="136"/>
      <c r="C61" s="136"/>
      <c r="D61" s="136"/>
      <c r="E61" s="25"/>
      <c r="F61" s="25"/>
      <c r="G61" s="12"/>
      <c r="H61" s="7"/>
      <c r="I61" s="2"/>
      <c r="J61" s="2"/>
      <c r="K61" s="4"/>
      <c r="L61" s="26"/>
      <c r="M61" s="26"/>
      <c r="N61" s="4"/>
    </row>
    <row r="62" spans="2:14">
      <c r="B62" s="196" t="s">
        <v>49</v>
      </c>
      <c r="C62" s="196"/>
      <c r="D62" s="196"/>
      <c r="E62" s="228"/>
      <c r="F62" s="229"/>
      <c r="G62" s="230"/>
      <c r="H62" s="13"/>
      <c r="I62" s="196" t="s">
        <v>50</v>
      </c>
      <c r="J62" s="196"/>
      <c r="K62" s="196"/>
      <c r="L62" s="228"/>
      <c r="M62" s="229"/>
      <c r="N62" s="230"/>
    </row>
    <row r="63" spans="2:14">
      <c r="B63" s="136"/>
      <c r="C63" s="136"/>
      <c r="D63" s="136"/>
      <c r="E63" s="25"/>
      <c r="F63" s="25"/>
      <c r="G63" s="12"/>
      <c r="H63" s="12"/>
      <c r="I63" s="2"/>
      <c r="J63" s="2"/>
      <c r="K63" s="2"/>
      <c r="L63" s="21"/>
      <c r="M63" s="27"/>
      <c r="N63" s="2"/>
    </row>
    <row r="64" spans="2:14">
      <c r="B64" s="136"/>
      <c r="C64" s="136"/>
      <c r="D64" s="136"/>
      <c r="E64" s="21"/>
      <c r="F64" s="21"/>
      <c r="G64" s="2"/>
      <c r="H64" s="12"/>
      <c r="I64" s="2"/>
      <c r="J64" s="2"/>
      <c r="K64" s="2"/>
      <c r="L64" s="21"/>
      <c r="M64" s="21"/>
      <c r="N64" s="2"/>
    </row>
    <row r="65" spans="2:14">
      <c r="B65" s="196" t="s">
        <v>51</v>
      </c>
      <c r="C65" s="196"/>
      <c r="D65" s="198"/>
      <c r="E65" s="231">
        <f>HOME!C10</f>
        <v>0</v>
      </c>
      <c r="F65" s="232"/>
      <c r="G65" s="233"/>
      <c r="H65" s="9"/>
      <c r="I65" s="2"/>
      <c r="J65" s="2"/>
      <c r="K65" s="2"/>
      <c r="L65" s="21"/>
      <c r="M65" s="21"/>
      <c r="N65" s="2"/>
    </row>
    <row r="66" spans="2:14">
      <c r="B66" s="2"/>
      <c r="C66" s="2"/>
      <c r="D66" s="2"/>
      <c r="E66" s="234"/>
      <c r="F66" s="235"/>
      <c r="G66" s="236"/>
      <c r="H66" s="9"/>
      <c r="I66" s="2"/>
      <c r="J66" s="2"/>
      <c r="K66" s="2"/>
      <c r="L66" s="28"/>
      <c r="M66" s="28"/>
      <c r="N66" s="2"/>
    </row>
    <row r="67" spans="2:14">
      <c r="B67" s="2"/>
      <c r="C67" s="2"/>
      <c r="D67" s="2"/>
      <c r="E67" s="234">
        <f>HOME!C11</f>
        <v>0</v>
      </c>
      <c r="F67" s="235"/>
      <c r="G67" s="236"/>
      <c r="H67" s="9"/>
      <c r="I67" s="2"/>
      <c r="J67" s="2"/>
      <c r="K67" s="2"/>
      <c r="L67" s="21"/>
      <c r="M67" s="21"/>
      <c r="N67" s="2"/>
    </row>
    <row r="68" spans="2:14">
      <c r="B68" s="2"/>
      <c r="C68" s="2"/>
      <c r="D68" s="2"/>
      <c r="E68" s="234"/>
      <c r="F68" s="235"/>
      <c r="G68" s="236"/>
      <c r="H68" s="9"/>
      <c r="I68" s="2"/>
      <c r="J68" s="2"/>
      <c r="K68" s="2"/>
      <c r="L68" s="29"/>
      <c r="M68" s="29"/>
      <c r="N68" s="2"/>
    </row>
    <row r="69" spans="2:14">
      <c r="B69" s="2"/>
      <c r="C69" s="2"/>
      <c r="D69" s="2"/>
      <c r="E69" s="234"/>
      <c r="F69" s="235"/>
      <c r="G69" s="236"/>
      <c r="H69" s="7"/>
      <c r="I69" s="2"/>
      <c r="J69" s="2"/>
      <c r="K69" s="2"/>
      <c r="L69" s="21"/>
      <c r="M69" s="21"/>
      <c r="N69" s="2"/>
    </row>
    <row r="70" spans="2:14">
      <c r="B70" s="2"/>
      <c r="C70" s="2"/>
      <c r="D70" s="2"/>
      <c r="E70" s="234"/>
      <c r="F70" s="235"/>
      <c r="G70" s="236"/>
      <c r="H70" s="12"/>
      <c r="I70" s="2"/>
      <c r="J70" s="2"/>
      <c r="K70" s="2"/>
      <c r="L70" s="21"/>
      <c r="M70" s="21"/>
      <c r="N70" s="2"/>
    </row>
    <row r="71" spans="2:14">
      <c r="B71" s="14"/>
      <c r="C71" s="14"/>
      <c r="D71" s="2"/>
      <c r="E71" s="234"/>
      <c r="F71" s="235"/>
      <c r="G71" s="236"/>
      <c r="H71" s="12"/>
      <c r="I71" s="2"/>
      <c r="J71" s="2"/>
      <c r="K71" s="2"/>
      <c r="L71" s="21"/>
      <c r="M71" s="21"/>
      <c r="N71" s="2"/>
    </row>
    <row r="72" spans="2:14">
      <c r="B72" s="14"/>
      <c r="C72" s="14"/>
      <c r="D72" s="2"/>
      <c r="E72" s="237"/>
      <c r="F72" s="238"/>
      <c r="G72" s="239"/>
      <c r="H72" s="12"/>
      <c r="I72" s="2"/>
      <c r="J72" s="2"/>
      <c r="K72" s="2"/>
      <c r="L72" s="21"/>
      <c r="M72" s="21"/>
      <c r="N72" s="2"/>
    </row>
    <row r="73" spans="2:14">
      <c r="B73" s="14"/>
      <c r="C73" s="14"/>
      <c r="D73" s="2"/>
      <c r="E73" s="21"/>
      <c r="F73" s="21"/>
      <c r="G73" s="2"/>
      <c r="H73" s="12"/>
      <c r="I73" s="2"/>
      <c r="J73" s="2"/>
      <c r="K73" s="2"/>
      <c r="L73" s="21"/>
      <c r="M73" s="21"/>
      <c r="N73" s="2"/>
    </row>
    <row r="74" spans="2:14">
      <c r="B74" s="196" t="s">
        <v>52</v>
      </c>
      <c r="C74" s="196"/>
      <c r="D74" s="196"/>
      <c r="E74" s="225"/>
      <c r="F74" s="226"/>
      <c r="G74" s="226"/>
      <c r="H74" s="12"/>
      <c r="I74" s="196" t="s">
        <v>53</v>
      </c>
      <c r="J74" s="196"/>
      <c r="K74" s="196"/>
      <c r="L74" s="225"/>
      <c r="M74" s="226"/>
      <c r="N74" s="226"/>
    </row>
    <row r="75" spans="2:14" ht="15.6">
      <c r="B75" s="92"/>
      <c r="C75" s="92"/>
      <c r="D75" s="92"/>
      <c r="E75" s="94"/>
      <c r="F75" s="94"/>
      <c r="G75" s="95"/>
      <c r="H75" s="96"/>
      <c r="I75" s="92"/>
      <c r="J75" s="92"/>
      <c r="K75" s="92"/>
      <c r="L75" s="93"/>
      <c r="M75" s="97"/>
      <c r="N75" s="92"/>
    </row>
    <row r="76" spans="2:14" ht="15.6" hidden="1">
      <c r="B76" s="92"/>
      <c r="C76" s="92"/>
      <c r="D76" s="92"/>
      <c r="E76" s="93"/>
      <c r="F76" s="98"/>
      <c r="G76" s="92"/>
      <c r="H76" s="95"/>
      <c r="I76" s="92"/>
      <c r="J76" s="92"/>
      <c r="K76" s="92"/>
      <c r="L76" s="93"/>
      <c r="M76" s="93"/>
      <c r="N76" s="92"/>
    </row>
    <row r="77" spans="2:14" ht="15.6" hidden="1">
      <c r="B77" s="92"/>
      <c r="C77" s="92"/>
      <c r="D77" s="92"/>
      <c r="E77" s="93"/>
      <c r="F77" s="93"/>
      <c r="G77" s="92"/>
      <c r="H77" s="92"/>
      <c r="I77" s="99"/>
      <c r="J77" s="92"/>
      <c r="K77" s="227"/>
      <c r="L77" s="227"/>
      <c r="M77" s="227"/>
      <c r="N77" s="92"/>
    </row>
    <row r="78" spans="2:14" hidden="1">
      <c r="B78" s="100"/>
      <c r="C78" s="100"/>
      <c r="D78" s="100"/>
      <c r="E78" s="101"/>
      <c r="F78" s="101"/>
      <c r="G78" s="100"/>
      <c r="H78" s="92"/>
      <c r="I78" s="92"/>
      <c r="J78" s="92"/>
      <c r="K78" s="92"/>
      <c r="L78" s="93"/>
      <c r="M78" s="93"/>
      <c r="N78" s="92"/>
    </row>
  </sheetData>
  <mergeCells count="43">
    <mergeCell ref="L74:N74"/>
    <mergeCell ref="K77:M77"/>
    <mergeCell ref="B48:C53"/>
    <mergeCell ref="I48:J53"/>
    <mergeCell ref="B62:D62"/>
    <mergeCell ref="E62:G62"/>
    <mergeCell ref="I62:K62"/>
    <mergeCell ref="L62:N62"/>
    <mergeCell ref="B65:D65"/>
    <mergeCell ref="B74:D74"/>
    <mergeCell ref="E74:G74"/>
    <mergeCell ref="I74:K74"/>
    <mergeCell ref="E65:G66"/>
    <mergeCell ref="E67:G72"/>
    <mergeCell ref="B55:D57"/>
    <mergeCell ref="B58:D60"/>
    <mergeCell ref="E58:N60"/>
    <mergeCell ref="I24:J29"/>
    <mergeCell ref="B30:C35"/>
    <mergeCell ref="I30:J35"/>
    <mergeCell ref="H17:H53"/>
    <mergeCell ref="B36:C41"/>
    <mergeCell ref="I36:J41"/>
    <mergeCell ref="B42:C47"/>
    <mergeCell ref="B17:C17"/>
    <mergeCell ref="I17:J17"/>
    <mergeCell ref="B18:C23"/>
    <mergeCell ref="I18:J23"/>
    <mergeCell ref="B24:C29"/>
    <mergeCell ref="I42:J47"/>
    <mergeCell ref="E55:N57"/>
    <mergeCell ref="B5:N6"/>
    <mergeCell ref="B9:N9"/>
    <mergeCell ref="B11:D11"/>
    <mergeCell ref="E11:G11"/>
    <mergeCell ref="I11:K11"/>
    <mergeCell ref="B15:D15"/>
    <mergeCell ref="E15:G15"/>
    <mergeCell ref="I15:K15"/>
    <mergeCell ref="L11:N14"/>
    <mergeCell ref="L15:N15"/>
    <mergeCell ref="B13:D13"/>
    <mergeCell ref="E13:G13"/>
  </mergeCells>
  <pageMargins left="0.51181102362204722" right="0.11811023622047245" top="0.19685039370078741" bottom="0.15748031496062992" header="0.15748031496062992" footer="0.11811023622047245"/>
  <pageSetup paperSize="9" scale="62" orientation="portrait" horizontalDpi="4294967293" r:id="rId1"/>
  <rowBreaks count="1" manualBreakCount="1">
    <brk id="35" min="1" max="14"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5">
    <pageSetUpPr fitToPage="1"/>
  </sheetPr>
  <dimension ref="A1:L50"/>
  <sheetViews>
    <sheetView showGridLines="0" showZeros="0" zoomScaleNormal="100" workbookViewId="0">
      <selection activeCell="I48" sqref="I48:K49"/>
    </sheetView>
  </sheetViews>
  <sheetFormatPr defaultColWidth="0" defaultRowHeight="13.8" zeroHeight="1"/>
  <cols>
    <col min="1" max="1" width="1.6640625" style="131" customWidth="1"/>
    <col min="2" max="11" width="9.109375" style="131" customWidth="1"/>
    <col min="12" max="12" width="1.6640625" style="131" customWidth="1"/>
    <col min="13" max="16384" width="9.109375" style="131" hidden="1"/>
  </cols>
  <sheetData>
    <row r="1" spans="2:11"/>
    <row r="2" spans="2:11"/>
    <row r="3" spans="2:11"/>
    <row r="4" spans="2:11"/>
    <row r="5" spans="2:11"/>
    <row r="6" spans="2:11" ht="14.4">
      <c r="B6" s="132"/>
      <c r="C6" s="132"/>
      <c r="D6" s="132"/>
      <c r="E6" s="132"/>
      <c r="F6" s="132"/>
      <c r="G6" s="252" t="s">
        <v>54</v>
      </c>
      <c r="H6" s="252"/>
      <c r="I6" s="265">
        <f>HOME!C5</f>
        <v>0</v>
      </c>
      <c r="J6" s="266"/>
      <c r="K6" s="267"/>
    </row>
    <row r="7" spans="2:11" ht="14.4">
      <c r="B7" s="132"/>
      <c r="C7" s="132"/>
      <c r="D7" s="132"/>
      <c r="E7" s="132"/>
      <c r="F7" s="132"/>
      <c r="G7" s="132"/>
      <c r="H7" s="132"/>
      <c r="I7" s="132"/>
      <c r="J7" s="132"/>
      <c r="K7" s="132"/>
    </row>
    <row r="8" spans="2:11" ht="14.4">
      <c r="B8" s="132"/>
      <c r="C8" s="132"/>
      <c r="D8" s="132"/>
      <c r="E8" s="132"/>
      <c r="F8" s="132"/>
      <c r="G8" s="132"/>
      <c r="H8" s="132"/>
      <c r="I8" s="132"/>
      <c r="J8" s="132"/>
      <c r="K8" s="132"/>
    </row>
    <row r="9" spans="2:11" ht="23.4">
      <c r="B9" s="264" t="s">
        <v>5</v>
      </c>
      <c r="C9" s="264"/>
      <c r="D9" s="264"/>
      <c r="E9" s="264"/>
      <c r="F9" s="264"/>
      <c r="G9" s="264"/>
      <c r="H9" s="264"/>
      <c r="I9" s="264"/>
      <c r="J9" s="264"/>
      <c r="K9" s="264"/>
    </row>
    <row r="10" spans="2:11" ht="14.4">
      <c r="B10" s="137"/>
      <c r="C10" s="137"/>
      <c r="D10" s="137"/>
      <c r="E10" s="137"/>
      <c r="F10" s="137"/>
      <c r="G10" s="137"/>
      <c r="H10" s="137"/>
      <c r="I10" s="137"/>
      <c r="J10" s="137"/>
      <c r="K10" s="137"/>
    </row>
    <row r="11" spans="2:11">
      <c r="B11" s="252" t="s">
        <v>55</v>
      </c>
      <c r="C11" s="252"/>
      <c r="D11" s="252"/>
      <c r="E11" s="252"/>
      <c r="F11" s="252"/>
      <c r="G11" s="252"/>
      <c r="H11" s="252"/>
      <c r="I11" s="252"/>
      <c r="J11" s="252"/>
      <c r="K11" s="252"/>
    </row>
    <row r="12" spans="2:11" ht="18.75" customHeight="1">
      <c r="B12" s="252"/>
      <c r="C12" s="252"/>
      <c r="D12" s="252"/>
      <c r="E12" s="252"/>
      <c r="F12" s="252"/>
      <c r="G12" s="252"/>
      <c r="H12" s="252"/>
      <c r="I12" s="252"/>
      <c r="J12" s="252"/>
      <c r="K12" s="252"/>
    </row>
    <row r="13" spans="2:11" ht="14.4">
      <c r="B13" s="132"/>
      <c r="C13" s="132"/>
      <c r="D13" s="132"/>
      <c r="E13" s="132"/>
      <c r="F13" s="132"/>
      <c r="G13" s="132"/>
      <c r="H13" s="132"/>
      <c r="I13" s="132"/>
      <c r="J13" s="132"/>
      <c r="K13" s="132"/>
    </row>
    <row r="14" spans="2:11" ht="16.5" customHeight="1">
      <c r="B14" s="252" t="s">
        <v>56</v>
      </c>
      <c r="C14" s="252"/>
      <c r="D14" s="265">
        <f>HOME!C6</f>
        <v>0</v>
      </c>
      <c r="E14" s="266"/>
      <c r="F14" s="266"/>
      <c r="G14" s="266"/>
      <c r="H14" s="266"/>
      <c r="I14" s="266"/>
      <c r="J14" s="266"/>
      <c r="K14" s="267"/>
    </row>
    <row r="15" spans="2:11" ht="12.75" customHeight="1">
      <c r="B15" s="138"/>
      <c r="C15" s="138"/>
      <c r="D15" s="138"/>
      <c r="E15" s="138"/>
      <c r="F15" s="138"/>
      <c r="G15" s="138"/>
      <c r="H15" s="138"/>
      <c r="I15" s="138"/>
      <c r="J15" s="138"/>
      <c r="K15" s="138"/>
    </row>
    <row r="16" spans="2:11" ht="12.75" customHeight="1">
      <c r="B16" s="138"/>
      <c r="C16" s="138"/>
      <c r="D16" s="138"/>
      <c r="E16" s="138"/>
      <c r="F16" s="138"/>
      <c r="G16" s="138"/>
      <c r="H16" s="138"/>
      <c r="I16" s="138"/>
      <c r="J16" s="138"/>
      <c r="K16" s="138"/>
    </row>
    <row r="17" spans="2:11" ht="14.4">
      <c r="B17" s="137"/>
      <c r="C17" s="137"/>
      <c r="D17" s="137"/>
      <c r="E17" s="137"/>
      <c r="F17" s="137"/>
      <c r="G17" s="137"/>
      <c r="H17" s="137"/>
      <c r="I17" s="137"/>
      <c r="J17" s="137"/>
      <c r="K17" s="137"/>
    </row>
    <row r="18" spans="2:11" ht="18.75" customHeight="1">
      <c r="B18" s="260" t="s">
        <v>39</v>
      </c>
      <c r="C18" s="261"/>
      <c r="D18" s="261"/>
      <c r="E18" s="261"/>
      <c r="F18" s="261"/>
      <c r="G18" s="261"/>
      <c r="H18" s="261"/>
      <c r="I18" s="261"/>
      <c r="J18" s="261"/>
      <c r="K18" s="262"/>
    </row>
    <row r="19" spans="2:11" ht="12.75" customHeight="1">
      <c r="B19" s="268">
        <f>HOME!C7</f>
        <v>0</v>
      </c>
      <c r="C19" s="268"/>
      <c r="D19" s="268"/>
      <c r="E19" s="268"/>
      <c r="F19" s="268"/>
      <c r="G19" s="268"/>
      <c r="H19" s="268"/>
      <c r="I19" s="268"/>
      <c r="J19" s="268"/>
      <c r="K19" s="268"/>
    </row>
    <row r="20" spans="2:11" ht="12.75" customHeight="1">
      <c r="B20" s="268"/>
      <c r="C20" s="268"/>
      <c r="D20" s="268"/>
      <c r="E20" s="268"/>
      <c r="F20" s="268"/>
      <c r="G20" s="268"/>
      <c r="H20" s="268"/>
      <c r="I20" s="268"/>
      <c r="J20" s="268"/>
      <c r="K20" s="268"/>
    </row>
    <row r="21" spans="2:11" ht="12.75" customHeight="1">
      <c r="B21" s="268"/>
      <c r="C21" s="268"/>
      <c r="D21" s="268"/>
      <c r="E21" s="268"/>
      <c r="F21" s="268"/>
      <c r="G21" s="268"/>
      <c r="H21" s="268"/>
      <c r="I21" s="268"/>
      <c r="J21" s="268"/>
      <c r="K21" s="268"/>
    </row>
    <row r="22" spans="2:11" ht="14.4">
      <c r="B22" s="263" t="s">
        <v>57</v>
      </c>
      <c r="C22" s="263"/>
      <c r="D22" s="268">
        <f>HOME!C8</f>
        <v>0</v>
      </c>
      <c r="E22" s="268"/>
      <c r="F22" s="268"/>
      <c r="G22" s="268"/>
      <c r="H22" s="269"/>
      <c r="I22" s="269"/>
      <c r="J22" s="269"/>
      <c r="K22" s="269"/>
    </row>
    <row r="23" spans="2:11" ht="14.4">
      <c r="B23" s="134"/>
      <c r="C23" s="134"/>
      <c r="D23" s="134"/>
      <c r="E23" s="134"/>
      <c r="F23" s="134"/>
      <c r="G23" s="134"/>
      <c r="H23" s="134"/>
      <c r="I23" s="134"/>
      <c r="J23" s="134"/>
      <c r="K23" s="134"/>
    </row>
    <row r="24" spans="2:11" ht="14.4">
      <c r="B24" s="132"/>
      <c r="C24" s="132"/>
      <c r="D24" s="132"/>
      <c r="E24" s="132"/>
      <c r="F24" s="132"/>
      <c r="G24" s="132"/>
      <c r="H24" s="132"/>
      <c r="I24" s="132"/>
      <c r="J24" s="132"/>
      <c r="K24" s="132"/>
    </row>
    <row r="25" spans="2:11">
      <c r="B25" s="270" t="s">
        <v>58</v>
      </c>
      <c r="C25" s="270"/>
      <c r="D25" s="270"/>
      <c r="E25" s="270"/>
      <c r="F25" s="270"/>
      <c r="G25" s="270"/>
      <c r="H25" s="270"/>
      <c r="I25" s="270"/>
      <c r="J25" s="270"/>
      <c r="K25" s="270"/>
    </row>
    <row r="26" spans="2:11" ht="20.25" customHeight="1">
      <c r="B26" s="270"/>
      <c r="C26" s="270"/>
      <c r="D26" s="270"/>
      <c r="E26" s="270"/>
      <c r="F26" s="270"/>
      <c r="G26" s="270"/>
      <c r="H26" s="270"/>
      <c r="I26" s="270"/>
      <c r="J26" s="270"/>
      <c r="K26" s="270"/>
    </row>
    <row r="27" spans="2:11" ht="14.4">
      <c r="B27" s="134"/>
      <c r="C27" s="134"/>
      <c r="D27" s="134"/>
      <c r="E27" s="134"/>
      <c r="F27" s="134"/>
      <c r="G27" s="134"/>
      <c r="H27" s="134"/>
      <c r="I27" s="134"/>
      <c r="J27" s="134"/>
      <c r="K27" s="134"/>
    </row>
    <row r="28" spans="2:11" ht="14.4">
      <c r="B28" s="132"/>
      <c r="C28" s="132"/>
      <c r="D28" s="132"/>
      <c r="E28" s="132"/>
      <c r="F28" s="132"/>
      <c r="G28" s="132"/>
      <c r="H28" s="132"/>
      <c r="I28" s="132"/>
      <c r="J28" s="132"/>
      <c r="K28" s="132"/>
    </row>
    <row r="29" spans="2:11" ht="14.4">
      <c r="B29" s="270" t="s">
        <v>59</v>
      </c>
      <c r="C29" s="270"/>
      <c r="D29" s="270"/>
      <c r="E29" s="270"/>
      <c r="F29" s="270"/>
      <c r="G29" s="270"/>
      <c r="H29" s="270"/>
      <c r="I29" s="270"/>
      <c r="J29" s="270"/>
      <c r="K29" s="270"/>
    </row>
    <row r="30" spans="2:11" ht="14.4">
      <c r="B30" s="134"/>
      <c r="C30" s="134"/>
      <c r="D30" s="134"/>
      <c r="E30" s="134"/>
      <c r="F30" s="134"/>
      <c r="G30" s="134"/>
      <c r="H30" s="134"/>
      <c r="I30" s="134"/>
      <c r="J30" s="134"/>
      <c r="K30" s="134"/>
    </row>
    <row r="31" spans="2:11" ht="14.4">
      <c r="B31" s="132"/>
      <c r="C31" s="132"/>
      <c r="D31" s="132"/>
      <c r="E31" s="132"/>
      <c r="F31" s="132"/>
      <c r="G31" s="132"/>
      <c r="H31" s="132"/>
      <c r="I31" s="132"/>
      <c r="J31" s="132"/>
      <c r="K31" s="132"/>
    </row>
    <row r="32" spans="2:11" ht="14.4">
      <c r="B32" s="270" t="s">
        <v>60</v>
      </c>
      <c r="C32" s="270"/>
      <c r="D32" s="270"/>
      <c r="E32" s="270"/>
      <c r="F32" s="270"/>
      <c r="G32" s="270"/>
      <c r="H32" s="270"/>
      <c r="I32" s="270"/>
      <c r="J32" s="270"/>
      <c r="K32" s="270"/>
    </row>
    <row r="33" spans="2:11" ht="14.4">
      <c r="B33" s="132"/>
      <c r="C33" s="132"/>
      <c r="D33" s="132"/>
      <c r="E33" s="132"/>
      <c r="F33" s="132"/>
      <c r="G33" s="132"/>
      <c r="H33" s="132"/>
      <c r="I33" s="132"/>
      <c r="J33" s="132"/>
      <c r="K33" s="132"/>
    </row>
    <row r="34" spans="2:11" ht="14.4">
      <c r="B34" s="132"/>
      <c r="C34" s="132"/>
      <c r="D34" s="132"/>
      <c r="E34" s="132"/>
      <c r="F34" s="132"/>
      <c r="G34" s="132"/>
      <c r="H34" s="132"/>
      <c r="I34" s="132"/>
      <c r="J34" s="132"/>
      <c r="K34" s="132"/>
    </row>
    <row r="35" spans="2:11">
      <c r="B35" s="270" t="s">
        <v>61</v>
      </c>
      <c r="C35" s="270"/>
      <c r="D35" s="270"/>
      <c r="E35" s="270"/>
      <c r="F35" s="270"/>
      <c r="G35" s="270"/>
      <c r="H35" s="270"/>
      <c r="I35" s="270"/>
      <c r="J35" s="270"/>
      <c r="K35" s="270"/>
    </row>
    <row r="36" spans="2:11">
      <c r="B36" s="270"/>
      <c r="C36" s="270"/>
      <c r="D36" s="270"/>
      <c r="E36" s="270"/>
      <c r="F36" s="270"/>
      <c r="G36" s="270"/>
      <c r="H36" s="270"/>
      <c r="I36" s="270"/>
      <c r="J36" s="270"/>
      <c r="K36" s="270"/>
    </row>
    <row r="37" spans="2:11" ht="34.5" customHeight="1">
      <c r="B37" s="270"/>
      <c r="C37" s="270"/>
      <c r="D37" s="270"/>
      <c r="E37" s="270"/>
      <c r="F37" s="270"/>
      <c r="G37" s="270"/>
      <c r="H37" s="270"/>
      <c r="I37" s="270"/>
      <c r="J37" s="270"/>
      <c r="K37" s="270"/>
    </row>
    <row r="38" spans="2:11" ht="14.4">
      <c r="B38" s="132"/>
      <c r="C38" s="132"/>
      <c r="D38" s="132"/>
      <c r="E38" s="132"/>
      <c r="F38" s="132"/>
      <c r="G38" s="132"/>
      <c r="H38" s="132"/>
      <c r="I38" s="132"/>
      <c r="J38" s="132"/>
      <c r="K38" s="132"/>
    </row>
    <row r="39" spans="2:11" ht="14.4">
      <c r="B39" s="132"/>
      <c r="C39" s="132"/>
      <c r="D39" s="132"/>
      <c r="E39" s="132"/>
      <c r="F39" s="132"/>
      <c r="G39" s="132"/>
      <c r="H39" s="132"/>
      <c r="I39" s="132"/>
      <c r="J39" s="132"/>
      <c r="K39" s="132"/>
    </row>
    <row r="40" spans="2:11" ht="12.75" customHeight="1">
      <c r="B40" s="133"/>
      <c r="C40" s="133"/>
      <c r="D40" s="133"/>
      <c r="E40" s="133"/>
      <c r="F40" s="133"/>
      <c r="G40" s="133"/>
      <c r="H40" s="133"/>
      <c r="I40" s="133"/>
      <c r="J40" s="133"/>
      <c r="K40" s="133"/>
    </row>
    <row r="41" spans="2:11" ht="14.4">
      <c r="B41" s="252" t="s">
        <v>62</v>
      </c>
      <c r="C41" s="252"/>
      <c r="D41" s="253"/>
      <c r="E41" s="254"/>
      <c r="F41" s="254"/>
      <c r="G41" s="252" t="s">
        <v>63</v>
      </c>
      <c r="H41" s="252"/>
      <c r="I41" s="257"/>
      <c r="J41" s="258"/>
      <c r="K41" s="259"/>
    </row>
    <row r="42" spans="2:11" ht="14.4">
      <c r="B42" s="252"/>
      <c r="C42" s="252"/>
      <c r="D42" s="255"/>
      <c r="E42" s="256"/>
      <c r="F42" s="256"/>
      <c r="G42" s="252" t="s">
        <v>64</v>
      </c>
      <c r="H42" s="252"/>
      <c r="I42" s="257"/>
      <c r="J42" s="258"/>
      <c r="K42" s="259"/>
    </row>
    <row r="43" spans="2:11" ht="14.4">
      <c r="B43" s="271" t="s">
        <v>65</v>
      </c>
      <c r="C43" s="272"/>
      <c r="D43" s="273">
        <f>HOME!C10</f>
        <v>0</v>
      </c>
      <c r="E43" s="274"/>
      <c r="F43" s="274"/>
      <c r="G43" s="274"/>
      <c r="H43" s="275"/>
      <c r="I43" s="133"/>
      <c r="J43" s="133"/>
      <c r="K43" s="133"/>
    </row>
    <row r="44" spans="2:11" ht="13.5" customHeight="1">
      <c r="B44" s="133"/>
      <c r="C44" s="133"/>
      <c r="D44" s="246">
        <f>HOME!C11</f>
        <v>0</v>
      </c>
      <c r="E44" s="247"/>
      <c r="F44" s="247"/>
      <c r="G44" s="247"/>
      <c r="H44" s="248"/>
      <c r="I44" s="133"/>
      <c r="J44" s="133"/>
      <c r="K44" s="133"/>
    </row>
    <row r="45" spans="2:11" ht="13.5" customHeight="1">
      <c r="B45" s="132"/>
      <c r="C45" s="132"/>
      <c r="D45" s="246"/>
      <c r="E45" s="247"/>
      <c r="F45" s="247"/>
      <c r="G45" s="247"/>
      <c r="H45" s="248"/>
      <c r="I45" s="132"/>
      <c r="J45" s="132"/>
      <c r="K45" s="132"/>
    </row>
    <row r="46" spans="2:11" ht="15" customHeight="1">
      <c r="B46" s="132"/>
      <c r="C46" s="132"/>
      <c r="D46" s="249"/>
      <c r="E46" s="250"/>
      <c r="F46" s="250"/>
      <c r="G46" s="250"/>
      <c r="H46" s="251"/>
      <c r="I46" s="132"/>
      <c r="J46" s="132"/>
      <c r="K46" s="132"/>
    </row>
    <row r="47" spans="2:11" ht="14.4">
      <c r="B47" s="132"/>
      <c r="C47" s="132"/>
      <c r="D47" s="132"/>
      <c r="E47" s="132"/>
      <c r="F47" s="132"/>
      <c r="G47" s="132"/>
      <c r="H47" s="132"/>
      <c r="I47" s="132"/>
      <c r="J47" s="132"/>
      <c r="K47" s="132"/>
    </row>
    <row r="48" spans="2:11" ht="14.4">
      <c r="B48" s="252" t="s">
        <v>66</v>
      </c>
      <c r="C48" s="252"/>
      <c r="D48" s="253"/>
      <c r="E48" s="254"/>
      <c r="F48" s="254"/>
      <c r="G48" s="252" t="s">
        <v>63</v>
      </c>
      <c r="H48" s="252"/>
      <c r="I48" s="257"/>
      <c r="J48" s="258"/>
      <c r="K48" s="259"/>
    </row>
    <row r="49" spans="2:11" ht="14.4">
      <c r="B49" s="252"/>
      <c r="C49" s="252"/>
      <c r="D49" s="255"/>
      <c r="E49" s="256"/>
      <c r="F49" s="256"/>
      <c r="G49" s="252" t="s">
        <v>64</v>
      </c>
      <c r="H49" s="252"/>
      <c r="I49" s="257"/>
      <c r="J49" s="258"/>
      <c r="K49" s="259"/>
    </row>
    <row r="50" spans="2:11"/>
  </sheetData>
  <mergeCells count="30">
    <mergeCell ref="B25:K26"/>
    <mergeCell ref="B29:K29"/>
    <mergeCell ref="B32:K32"/>
    <mergeCell ref="B35:K37"/>
    <mergeCell ref="B43:C43"/>
    <mergeCell ref="D43:H43"/>
    <mergeCell ref="B41:C42"/>
    <mergeCell ref="D41:F42"/>
    <mergeCell ref="G41:H41"/>
    <mergeCell ref="G42:H42"/>
    <mergeCell ref="I41:K41"/>
    <mergeCell ref="I42:K42"/>
    <mergeCell ref="B18:K18"/>
    <mergeCell ref="B22:C22"/>
    <mergeCell ref="B9:K9"/>
    <mergeCell ref="B11:K12"/>
    <mergeCell ref="G6:H6"/>
    <mergeCell ref="I6:K6"/>
    <mergeCell ref="D14:K14"/>
    <mergeCell ref="B19:K21"/>
    <mergeCell ref="D22:G22"/>
    <mergeCell ref="B14:C14"/>
    <mergeCell ref="H22:K22"/>
    <mergeCell ref="D44:H46"/>
    <mergeCell ref="B48:C49"/>
    <mergeCell ref="D48:F49"/>
    <mergeCell ref="G48:H48"/>
    <mergeCell ref="I48:K48"/>
    <mergeCell ref="G49:H49"/>
    <mergeCell ref="I49:K49"/>
  </mergeCells>
  <pageMargins left="0.82677165354330717" right="0.62992125984251968" top="0.15748031496062992" bottom="0.19685039370078741" header="0.19685039370078741" footer="0.31496062992125984"/>
  <pageSetup paperSize="9" orientation="portrait" r:id="rId1"/>
  <headerFooter alignWithMargins="0">
    <oddFooter>&amp;CResponse, Unit 14, Henwood Business Centre, Henwood, Ashford, Kent, TN24 8DH</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58"/>
  <sheetViews>
    <sheetView showGridLines="0" topLeftCell="A22" workbookViewId="0">
      <selection activeCell="B39" sqref="B39:F57"/>
    </sheetView>
  </sheetViews>
  <sheetFormatPr defaultColWidth="0" defaultRowHeight="14.4" zeroHeight="1"/>
  <cols>
    <col min="1" max="1" width="1.6640625" customWidth="1"/>
    <col min="2" max="2" width="25.6640625" customWidth="1"/>
    <col min="3" max="3" width="7" bestFit="1" customWidth="1"/>
    <col min="4" max="4" width="6.44140625" bestFit="1" customWidth="1"/>
    <col min="5" max="5" width="6.77734375" bestFit="1" customWidth="1"/>
    <col min="6" max="6" width="50.6640625" customWidth="1"/>
    <col min="7" max="7" width="1.6640625" customWidth="1"/>
    <col min="8" max="16384" width="9.109375" hidden="1"/>
  </cols>
  <sheetData>
    <row r="1" spans="2:6"/>
    <row r="2" spans="2:6"/>
    <row r="3" spans="2:6"/>
    <row r="4" spans="2:6" ht="15" customHeight="1">
      <c r="B4" s="276" t="s">
        <v>67</v>
      </c>
      <c r="C4" s="276"/>
      <c r="D4" s="276"/>
      <c r="E4" s="276"/>
      <c r="F4" s="276"/>
    </row>
    <row r="5" spans="2:6" ht="15" customHeight="1">
      <c r="B5" s="276"/>
      <c r="C5" s="276"/>
      <c r="D5" s="276"/>
      <c r="E5" s="276"/>
      <c r="F5" s="276"/>
    </row>
    <row r="6" spans="2:6">
      <c r="B6" s="193" t="s">
        <v>68</v>
      </c>
      <c r="C6" s="193"/>
      <c r="D6" s="193"/>
      <c r="E6" s="193"/>
      <c r="F6" s="172">
        <f>HOME!C5</f>
        <v>0</v>
      </c>
    </row>
    <row r="7" spans="2:6">
      <c r="B7" s="193" t="s">
        <v>2</v>
      </c>
      <c r="C7" s="193"/>
      <c r="D7" s="193"/>
      <c r="E7" s="193"/>
      <c r="F7" s="172">
        <f>HOME!C6</f>
        <v>0</v>
      </c>
    </row>
    <row r="8" spans="2:6">
      <c r="B8" s="193" t="s">
        <v>4</v>
      </c>
      <c r="C8" s="193"/>
      <c r="D8" s="193"/>
      <c r="E8" s="193"/>
      <c r="F8" s="172">
        <f>HOME!C7</f>
        <v>0</v>
      </c>
    </row>
    <row r="9" spans="2:6">
      <c r="B9" s="193" t="s">
        <v>6</v>
      </c>
      <c r="C9" s="193"/>
      <c r="D9" s="193"/>
      <c r="E9" s="193"/>
      <c r="F9" s="172">
        <f>HOME!C8</f>
        <v>0</v>
      </c>
    </row>
    <row r="10" spans="2:6">
      <c r="B10" s="193" t="s">
        <v>69</v>
      </c>
      <c r="C10" s="193"/>
      <c r="D10" s="193"/>
      <c r="E10" s="193"/>
      <c r="F10" s="172">
        <f>HOME!C10</f>
        <v>0</v>
      </c>
    </row>
    <row r="11" spans="2:6">
      <c r="B11" s="193" t="s">
        <v>70</v>
      </c>
      <c r="C11" s="193"/>
      <c r="D11" s="193"/>
      <c r="E11" s="193"/>
      <c r="F11" s="172">
        <f>HOME!C12</f>
        <v>0</v>
      </c>
    </row>
    <row r="12" spans="2:6" ht="15" customHeight="1">
      <c r="B12" s="139"/>
      <c r="C12" s="139"/>
      <c r="D12" s="139"/>
      <c r="E12" s="139"/>
      <c r="F12" s="139"/>
    </row>
    <row r="13" spans="2:6" ht="15" customHeight="1">
      <c r="B13" s="276" t="s">
        <v>71</v>
      </c>
      <c r="C13" s="276"/>
      <c r="D13" s="276"/>
      <c r="E13" s="276"/>
      <c r="F13" s="276"/>
    </row>
    <row r="14" spans="2:6" ht="15" customHeight="1">
      <c r="B14" s="276"/>
      <c r="C14" s="276"/>
      <c r="D14" s="276"/>
      <c r="E14" s="276"/>
      <c r="F14" s="276"/>
    </row>
    <row r="15" spans="2:6">
      <c r="B15" s="283" t="s">
        <v>72</v>
      </c>
      <c r="C15" s="284"/>
      <c r="D15" s="284"/>
      <c r="E15" s="284"/>
      <c r="F15" s="285"/>
    </row>
    <row r="16" spans="2:6">
      <c r="B16" s="277" t="s">
        <v>73</v>
      </c>
      <c r="C16" s="278"/>
      <c r="D16" s="278"/>
      <c r="E16" s="278"/>
      <c r="F16" s="279"/>
    </row>
    <row r="17" spans="2:6">
      <c r="B17" s="280" t="s">
        <v>74</v>
      </c>
      <c r="C17" s="280" t="s">
        <v>75</v>
      </c>
      <c r="D17" s="280"/>
      <c r="E17" s="282"/>
      <c r="F17" s="280" t="s">
        <v>76</v>
      </c>
    </row>
    <row r="18" spans="2:6">
      <c r="B18" s="281"/>
      <c r="C18" s="173" t="s">
        <v>77</v>
      </c>
      <c r="D18" s="173" t="s">
        <v>78</v>
      </c>
      <c r="E18" s="173" t="s">
        <v>79</v>
      </c>
      <c r="F18" s="281"/>
    </row>
    <row r="19" spans="2:6">
      <c r="B19" s="71"/>
      <c r="C19" s="71"/>
      <c r="D19" s="71"/>
      <c r="E19" s="71"/>
      <c r="F19" s="74"/>
    </row>
    <row r="20" spans="2:6">
      <c r="B20" s="71"/>
      <c r="C20" s="71"/>
      <c r="D20" s="71"/>
      <c r="E20" s="71"/>
      <c r="F20" s="74"/>
    </row>
    <row r="21" spans="2:6">
      <c r="B21" s="71"/>
      <c r="C21" s="71"/>
      <c r="D21" s="71"/>
      <c r="E21" s="71"/>
      <c r="F21" s="74"/>
    </row>
    <row r="22" spans="2:6">
      <c r="B22" s="71"/>
      <c r="C22" s="71"/>
      <c r="D22" s="71"/>
      <c r="E22" s="71"/>
      <c r="F22" s="74"/>
    </row>
    <row r="23" spans="2:6">
      <c r="B23" s="71"/>
      <c r="C23" s="71"/>
      <c r="D23" s="71"/>
      <c r="E23" s="71"/>
      <c r="F23" s="74"/>
    </row>
    <row r="24" spans="2:6">
      <c r="B24" s="71"/>
      <c r="C24" s="71"/>
      <c r="D24" s="71"/>
      <c r="E24" s="71"/>
      <c r="F24" s="74"/>
    </row>
    <row r="25" spans="2:6">
      <c r="B25" s="71"/>
      <c r="C25" s="71"/>
      <c r="D25" s="71"/>
      <c r="E25" s="71"/>
      <c r="F25" s="74"/>
    </row>
    <row r="26" spans="2:6">
      <c r="B26" s="71"/>
      <c r="C26" s="71"/>
      <c r="D26" s="71"/>
      <c r="E26" s="71"/>
      <c r="F26" s="74"/>
    </row>
    <row r="27" spans="2:6">
      <c r="B27" s="71"/>
      <c r="C27" s="71"/>
      <c r="D27" s="71"/>
      <c r="E27" s="71"/>
      <c r="F27" s="74"/>
    </row>
    <row r="28" spans="2:6">
      <c r="B28" s="71"/>
      <c r="C28" s="71"/>
      <c r="D28" s="71"/>
      <c r="E28" s="71"/>
      <c r="F28" s="74"/>
    </row>
    <row r="29" spans="2:6">
      <c r="B29" s="70"/>
      <c r="C29" s="70"/>
      <c r="D29" s="70"/>
      <c r="E29" s="70"/>
      <c r="F29" s="73"/>
    </row>
    <row r="30" spans="2:6">
      <c r="B30" s="286" t="s">
        <v>80</v>
      </c>
      <c r="C30" s="287"/>
      <c r="D30" s="287"/>
      <c r="E30" s="287"/>
      <c r="F30" s="288"/>
    </row>
    <row r="31" spans="2:6">
      <c r="B31" s="277" t="s">
        <v>81</v>
      </c>
      <c r="C31" s="278"/>
      <c r="D31" s="278"/>
      <c r="E31" s="298"/>
      <c r="F31" s="299"/>
    </row>
    <row r="32" spans="2:6">
      <c r="B32" s="300"/>
      <c r="C32" s="301"/>
      <c r="D32" s="301"/>
      <c r="E32" s="302"/>
      <c r="F32" s="303"/>
    </row>
    <row r="33" spans="2:6">
      <c r="B33" s="304"/>
      <c r="C33" s="305"/>
      <c r="D33" s="305"/>
      <c r="E33" s="305"/>
      <c r="F33" s="306"/>
    </row>
    <row r="34" spans="2:6">
      <c r="B34" s="304"/>
      <c r="C34" s="305"/>
      <c r="D34" s="305"/>
      <c r="E34" s="305"/>
      <c r="F34" s="306"/>
    </row>
    <row r="35" spans="2:6">
      <c r="B35" s="304"/>
      <c r="C35" s="305"/>
      <c r="D35" s="305"/>
      <c r="E35" s="305"/>
      <c r="F35" s="306"/>
    </row>
    <row r="36" spans="2:6">
      <c r="B36" s="307"/>
      <c r="C36" s="308"/>
      <c r="D36" s="308"/>
      <c r="E36" s="308"/>
      <c r="F36" s="309"/>
    </row>
    <row r="37" spans="2:6"/>
    <row r="38" spans="2:6">
      <c r="B38" s="286" t="s">
        <v>82</v>
      </c>
      <c r="C38" s="287"/>
      <c r="D38" s="287"/>
      <c r="E38" s="287"/>
      <c r="F38" s="288"/>
    </row>
    <row r="39" spans="2:6">
      <c r="B39" s="289"/>
      <c r="C39" s="290"/>
      <c r="D39" s="290"/>
      <c r="E39" s="290"/>
      <c r="F39" s="291"/>
    </row>
    <row r="40" spans="2:6">
      <c r="B40" s="292"/>
      <c r="C40" s="293"/>
      <c r="D40" s="293"/>
      <c r="E40" s="293"/>
      <c r="F40" s="294"/>
    </row>
    <row r="41" spans="2:6">
      <c r="B41" s="292"/>
      <c r="C41" s="293"/>
      <c r="D41" s="293"/>
      <c r="E41" s="293"/>
      <c r="F41" s="294"/>
    </row>
    <row r="42" spans="2:6">
      <c r="B42" s="292"/>
      <c r="C42" s="293"/>
      <c r="D42" s="293"/>
      <c r="E42" s="293"/>
      <c r="F42" s="294"/>
    </row>
    <row r="43" spans="2:6">
      <c r="B43" s="292"/>
      <c r="C43" s="293"/>
      <c r="D43" s="293"/>
      <c r="E43" s="293"/>
      <c r="F43" s="294"/>
    </row>
    <row r="44" spans="2:6">
      <c r="B44" s="292"/>
      <c r="C44" s="293"/>
      <c r="D44" s="293"/>
      <c r="E44" s="293"/>
      <c r="F44" s="294"/>
    </row>
    <row r="45" spans="2:6">
      <c r="B45" s="292"/>
      <c r="C45" s="293"/>
      <c r="D45" s="293"/>
      <c r="E45" s="293"/>
      <c r="F45" s="294"/>
    </row>
    <row r="46" spans="2:6">
      <c r="B46" s="292"/>
      <c r="C46" s="293"/>
      <c r="D46" s="293"/>
      <c r="E46" s="293"/>
      <c r="F46" s="294"/>
    </row>
    <row r="47" spans="2:6">
      <c r="B47" s="292"/>
      <c r="C47" s="293"/>
      <c r="D47" s="293"/>
      <c r="E47" s="293"/>
      <c r="F47" s="294"/>
    </row>
    <row r="48" spans="2:6">
      <c r="B48" s="292"/>
      <c r="C48" s="293"/>
      <c r="D48" s="293"/>
      <c r="E48" s="293"/>
      <c r="F48" s="294"/>
    </row>
    <row r="49" spans="2:6">
      <c r="B49" s="292"/>
      <c r="C49" s="293"/>
      <c r="D49" s="293"/>
      <c r="E49" s="293"/>
      <c r="F49" s="294"/>
    </row>
    <row r="50" spans="2:6">
      <c r="B50" s="292"/>
      <c r="C50" s="293"/>
      <c r="D50" s="293"/>
      <c r="E50" s="293"/>
      <c r="F50" s="294"/>
    </row>
    <row r="51" spans="2:6">
      <c r="B51" s="292"/>
      <c r="C51" s="293"/>
      <c r="D51" s="293"/>
      <c r="E51" s="293"/>
      <c r="F51" s="294"/>
    </row>
    <row r="52" spans="2:6">
      <c r="B52" s="292"/>
      <c r="C52" s="293"/>
      <c r="D52" s="293"/>
      <c r="E52" s="293"/>
      <c r="F52" s="294"/>
    </row>
    <row r="53" spans="2:6">
      <c r="B53" s="292"/>
      <c r="C53" s="293"/>
      <c r="D53" s="293"/>
      <c r="E53" s="293"/>
      <c r="F53" s="294"/>
    </row>
    <row r="54" spans="2:6">
      <c r="B54" s="292"/>
      <c r="C54" s="293"/>
      <c r="D54" s="293"/>
      <c r="E54" s="293"/>
      <c r="F54" s="294"/>
    </row>
    <row r="55" spans="2:6">
      <c r="B55" s="292"/>
      <c r="C55" s="293"/>
      <c r="D55" s="293"/>
      <c r="E55" s="293"/>
      <c r="F55" s="294"/>
    </row>
    <row r="56" spans="2:6">
      <c r="B56" s="292"/>
      <c r="C56" s="293"/>
      <c r="D56" s="293"/>
      <c r="E56" s="293"/>
      <c r="F56" s="294"/>
    </row>
    <row r="57" spans="2:6">
      <c r="B57" s="295"/>
      <c r="C57" s="296"/>
      <c r="D57" s="296"/>
      <c r="E57" s="296"/>
      <c r="F57" s="297"/>
    </row>
    <row r="58" spans="2:6"/>
  </sheetData>
  <mergeCells count="18">
    <mergeCell ref="B38:F38"/>
    <mergeCell ref="B39:F57"/>
    <mergeCell ref="B31:F31"/>
    <mergeCell ref="B32:F36"/>
    <mergeCell ref="B30:F30"/>
    <mergeCell ref="B10:E10"/>
    <mergeCell ref="B11:E11"/>
    <mergeCell ref="B16:F16"/>
    <mergeCell ref="B17:B18"/>
    <mergeCell ref="C17:E17"/>
    <mergeCell ref="F17:F18"/>
    <mergeCell ref="B15:F15"/>
    <mergeCell ref="B13:F14"/>
    <mergeCell ref="B6:E6"/>
    <mergeCell ref="B7:E7"/>
    <mergeCell ref="B8:E8"/>
    <mergeCell ref="B9:E9"/>
    <mergeCell ref="B4:F5"/>
  </mergeCells>
  <pageMargins left="0.70866141732283472" right="0.70866141732283472" top="0.74803149606299213" bottom="0.74803149606299213" header="0.31496062992125984" footer="0.31496062992125984"/>
  <pageSetup paperSize="9" scale="90" fitToHeight="2" orientation="portrait"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32"/>
  <sheetViews>
    <sheetView showGridLines="0" zoomScale="160" zoomScaleNormal="160" workbookViewId="0">
      <selection activeCell="H7" sqref="H7"/>
    </sheetView>
  </sheetViews>
  <sheetFormatPr defaultColWidth="0" defaultRowHeight="14.4" zeroHeight="1"/>
  <cols>
    <col min="1" max="1" width="1.6640625" customWidth="1"/>
    <col min="2" max="2" width="17.109375" bestFit="1" customWidth="1"/>
    <col min="3" max="3" width="18.109375" customWidth="1"/>
    <col min="4" max="4" width="22" customWidth="1"/>
    <col min="5" max="5" width="25.77734375" customWidth="1"/>
    <col min="6" max="6" width="29.77734375" bestFit="1" customWidth="1"/>
    <col min="7" max="7" width="13.77734375" customWidth="1"/>
    <col min="8" max="8" width="13.109375" customWidth="1"/>
    <col min="9" max="9" width="1.6640625" customWidth="1"/>
    <col min="10" max="16384" width="9.109375" hidden="1"/>
  </cols>
  <sheetData>
    <row r="1" spans="1:9" ht="12.75" customHeight="1">
      <c r="A1" s="102"/>
      <c r="B1" s="102"/>
      <c r="C1" s="102"/>
      <c r="D1" s="102"/>
      <c r="E1" s="102"/>
      <c r="F1" s="102"/>
      <c r="G1" s="102"/>
      <c r="H1" s="102"/>
      <c r="I1" s="102"/>
    </row>
    <row r="2" spans="1:9" ht="12.75" customHeight="1">
      <c r="A2" s="102"/>
      <c r="B2" s="102"/>
      <c r="C2" s="102"/>
      <c r="D2" s="102"/>
      <c r="E2" s="102"/>
      <c r="F2" s="102"/>
      <c r="G2" s="102"/>
      <c r="H2" s="102"/>
      <c r="I2" s="102"/>
    </row>
    <row r="3" spans="1:9" ht="12.75" customHeight="1">
      <c r="A3" s="102"/>
      <c r="B3" s="102"/>
      <c r="C3" s="102"/>
      <c r="D3" s="102"/>
      <c r="E3" s="102"/>
      <c r="F3" s="102"/>
      <c r="G3" s="102"/>
      <c r="H3" s="102"/>
      <c r="I3" s="102"/>
    </row>
    <row r="4" spans="1:9" ht="12.75" customHeight="1">
      <c r="A4" s="102"/>
      <c r="B4" s="102"/>
      <c r="C4" s="102"/>
      <c r="D4" s="102"/>
      <c r="E4" s="102"/>
      <c r="F4" s="102"/>
      <c r="G4" s="102"/>
      <c r="H4" s="102"/>
      <c r="I4" s="102"/>
    </row>
    <row r="5" spans="1:9" ht="28.8">
      <c r="A5" s="102"/>
      <c r="B5" s="311" t="s">
        <v>83</v>
      </c>
      <c r="C5" s="312"/>
      <c r="D5" s="312"/>
      <c r="E5" s="312"/>
      <c r="F5" s="312"/>
      <c r="G5" s="312"/>
      <c r="H5" s="313"/>
      <c r="I5" s="79"/>
    </row>
    <row r="6" spans="1:9" ht="28.8">
      <c r="A6" s="102"/>
      <c r="B6" s="314"/>
      <c r="C6" s="315"/>
      <c r="D6" s="315"/>
      <c r="E6" s="315"/>
      <c r="F6" s="315"/>
      <c r="G6" s="315"/>
      <c r="H6" s="316"/>
      <c r="I6" s="79"/>
    </row>
    <row r="7" spans="1:9" ht="18">
      <c r="A7" s="102"/>
      <c r="B7" s="140" t="s">
        <v>56</v>
      </c>
      <c r="C7" s="176"/>
      <c r="D7" s="140" t="s">
        <v>39</v>
      </c>
      <c r="E7" s="310"/>
      <c r="F7" s="310"/>
      <c r="G7" s="140" t="s">
        <v>54</v>
      </c>
      <c r="H7" s="176"/>
      <c r="I7" s="80"/>
    </row>
    <row r="8" spans="1:9" ht="18">
      <c r="A8" s="102"/>
      <c r="B8" s="140" t="s">
        <v>84</v>
      </c>
      <c r="C8" s="140" t="s">
        <v>85</v>
      </c>
      <c r="D8" s="140" t="s">
        <v>86</v>
      </c>
      <c r="E8" s="140" t="s">
        <v>87</v>
      </c>
      <c r="F8" s="140" t="s">
        <v>88</v>
      </c>
      <c r="G8" s="317" t="s">
        <v>89</v>
      </c>
      <c r="H8" s="317"/>
      <c r="I8" s="76"/>
    </row>
    <row r="9" spans="1:9">
      <c r="A9" s="102"/>
      <c r="B9" s="162"/>
      <c r="C9" s="162"/>
      <c r="D9" s="162"/>
      <c r="E9" s="162"/>
      <c r="F9" s="162"/>
      <c r="G9" s="310" t="str">
        <f t="shared" ref="G9" si="0">IF(PRODUCT(C9:F9)=0,"",PRODUCT(C9:F9))</f>
        <v/>
      </c>
      <c r="H9" s="310"/>
      <c r="I9" s="84"/>
    </row>
    <row r="10" spans="1:9">
      <c r="A10" s="102"/>
      <c r="B10" s="162"/>
      <c r="C10" s="162"/>
      <c r="D10" s="162"/>
      <c r="E10" s="162"/>
      <c r="F10" s="162"/>
      <c r="G10" s="310" t="str">
        <f t="shared" ref="G10" si="1">IF(PRODUCT(C10:F10)=0,"",PRODUCT(C10:F10))</f>
        <v/>
      </c>
      <c r="H10" s="310"/>
      <c r="I10" s="102"/>
    </row>
    <row r="11" spans="1:9">
      <c r="A11" s="102"/>
      <c r="B11" s="162"/>
      <c r="C11" s="162"/>
      <c r="D11" s="162"/>
      <c r="E11" s="162"/>
      <c r="F11" s="162"/>
      <c r="G11" s="310" t="str">
        <f t="shared" ref="G11" si="2">IF(PRODUCT(C11:F11)=0,"",PRODUCT(C11:F11))</f>
        <v/>
      </c>
      <c r="H11" s="310"/>
      <c r="I11" s="102"/>
    </row>
    <row r="12" spans="1:9">
      <c r="A12" s="102"/>
      <c r="B12" s="162"/>
      <c r="C12" s="162"/>
      <c r="D12" s="162"/>
      <c r="E12" s="162"/>
      <c r="F12" s="162"/>
      <c r="G12" s="310" t="str">
        <f t="shared" ref="G12:G20" si="3">IF(PRODUCT(C12:F12)=0,"",PRODUCT(C12:F12))</f>
        <v/>
      </c>
      <c r="H12" s="310"/>
      <c r="I12" s="102"/>
    </row>
    <row r="13" spans="1:9">
      <c r="A13" s="102"/>
      <c r="B13" s="162"/>
      <c r="C13" s="162"/>
      <c r="D13" s="162"/>
      <c r="E13" s="162"/>
      <c r="F13" s="162"/>
      <c r="G13" s="310" t="str">
        <f t="shared" si="3"/>
        <v/>
      </c>
      <c r="H13" s="310"/>
      <c r="I13" s="102"/>
    </row>
    <row r="14" spans="1:9">
      <c r="A14" s="102"/>
      <c r="B14" s="162"/>
      <c r="C14" s="162"/>
      <c r="D14" s="162"/>
      <c r="E14" s="162"/>
      <c r="F14" s="162"/>
      <c r="G14" s="310" t="str">
        <f>IF(PRODUCT(C14:F14)=0,"",PRODUCT(C14:F14))</f>
        <v/>
      </c>
      <c r="H14" s="310"/>
      <c r="I14" s="102"/>
    </row>
    <row r="15" spans="1:9">
      <c r="A15" s="102"/>
      <c r="B15" s="162"/>
      <c r="C15" s="162"/>
      <c r="D15" s="162"/>
      <c r="E15" s="162"/>
      <c r="F15" s="162"/>
      <c r="G15" s="310" t="str">
        <f t="shared" si="3"/>
        <v/>
      </c>
      <c r="H15" s="310"/>
      <c r="I15" s="102"/>
    </row>
    <row r="16" spans="1:9">
      <c r="A16" s="102"/>
      <c r="B16" s="162"/>
      <c r="C16" s="162"/>
      <c r="D16" s="162"/>
      <c r="E16" s="162"/>
      <c r="F16" s="162"/>
      <c r="G16" s="310" t="str">
        <f t="shared" si="3"/>
        <v/>
      </c>
      <c r="H16" s="310"/>
      <c r="I16" s="102"/>
    </row>
    <row r="17" spans="1:9">
      <c r="A17" s="102"/>
      <c r="B17" s="162"/>
      <c r="C17" s="162"/>
      <c r="D17" s="162"/>
      <c r="E17" s="162"/>
      <c r="F17" s="162"/>
      <c r="G17" s="310" t="str">
        <f t="shared" si="3"/>
        <v/>
      </c>
      <c r="H17" s="310"/>
      <c r="I17" s="102"/>
    </row>
    <row r="18" spans="1:9">
      <c r="A18" s="102"/>
      <c r="B18" s="162"/>
      <c r="C18" s="162"/>
      <c r="D18" s="162"/>
      <c r="E18" s="162"/>
      <c r="F18" s="162"/>
      <c r="G18" s="310" t="str">
        <f t="shared" si="3"/>
        <v/>
      </c>
      <c r="H18" s="310"/>
      <c r="I18" s="102"/>
    </row>
    <row r="19" spans="1:9">
      <c r="A19" s="102"/>
      <c r="B19" s="162"/>
      <c r="C19" s="162"/>
      <c r="D19" s="162"/>
      <c r="E19" s="162"/>
      <c r="F19" s="162"/>
      <c r="G19" s="310" t="str">
        <f t="shared" si="3"/>
        <v/>
      </c>
      <c r="H19" s="310"/>
      <c r="I19" s="102"/>
    </row>
    <row r="20" spans="1:9">
      <c r="A20" s="102"/>
      <c r="B20" s="162"/>
      <c r="C20" s="162"/>
      <c r="D20" s="162"/>
      <c r="E20" s="162"/>
      <c r="F20" s="162"/>
      <c r="G20" s="310" t="str">
        <f t="shared" si="3"/>
        <v/>
      </c>
      <c r="H20" s="310"/>
      <c r="I20" s="102"/>
    </row>
    <row r="21" spans="1:9" ht="18">
      <c r="A21" s="102"/>
      <c r="B21" s="317" t="s">
        <v>90</v>
      </c>
      <c r="C21" s="317"/>
      <c r="D21" s="317"/>
      <c r="E21" s="317"/>
      <c r="F21" s="317"/>
      <c r="G21" s="320">
        <f>SUM(G9:H20)</f>
        <v>0</v>
      </c>
      <c r="H21" s="320"/>
      <c r="I21" s="77"/>
    </row>
    <row r="22" spans="1:9">
      <c r="A22" s="102"/>
      <c r="B22" s="321" t="s">
        <v>91</v>
      </c>
      <c r="C22" s="321"/>
      <c r="D22" s="321"/>
      <c r="E22" s="317" t="s">
        <v>92</v>
      </c>
      <c r="F22" s="317"/>
      <c r="G22" s="322">
        <v>0.15</v>
      </c>
      <c r="H22" s="322"/>
      <c r="I22" s="102"/>
    </row>
    <row r="23" spans="1:9">
      <c r="A23" s="102"/>
      <c r="B23" s="321"/>
      <c r="C23" s="321"/>
      <c r="D23" s="321"/>
      <c r="E23" s="323" t="s">
        <v>93</v>
      </c>
      <c r="F23" s="324"/>
      <c r="G23" s="324"/>
      <c r="H23" s="325"/>
      <c r="I23" s="102"/>
    </row>
    <row r="24" spans="1:9">
      <c r="A24" s="102"/>
      <c r="B24" s="321"/>
      <c r="C24" s="321"/>
      <c r="D24" s="321"/>
      <c r="E24" s="326"/>
      <c r="F24" s="327"/>
      <c r="G24" s="327"/>
      <c r="H24" s="328"/>
      <c r="I24" s="102"/>
    </row>
    <row r="25" spans="1:9" ht="18">
      <c r="A25" s="102"/>
      <c r="B25" s="321"/>
      <c r="C25" s="321"/>
      <c r="D25" s="321"/>
      <c r="E25" s="317" t="s">
        <v>94</v>
      </c>
      <c r="F25" s="317"/>
      <c r="G25" s="318">
        <f>SUM(G21*G22)</f>
        <v>0</v>
      </c>
      <c r="H25" s="319"/>
      <c r="I25" s="78"/>
    </row>
    <row r="26" spans="1:9">
      <c r="A26" s="102"/>
      <c r="B26" s="252" t="s">
        <v>95</v>
      </c>
      <c r="C26" s="252"/>
      <c r="D26" s="252"/>
      <c r="E26" s="252"/>
      <c r="F26" s="252"/>
      <c r="G26" s="252"/>
      <c r="H26" s="252"/>
      <c r="I26" s="102"/>
    </row>
    <row r="27" spans="1:9">
      <c r="A27" s="102"/>
      <c r="B27" s="252"/>
      <c r="C27" s="252"/>
      <c r="D27" s="252"/>
      <c r="E27" s="252"/>
      <c r="F27" s="252"/>
      <c r="G27" s="252"/>
      <c r="H27" s="252"/>
      <c r="I27" s="102"/>
    </row>
    <row r="28" spans="1:9">
      <c r="A28" s="102"/>
      <c r="B28" s="252"/>
      <c r="C28" s="252"/>
      <c r="D28" s="252"/>
      <c r="E28" s="252"/>
      <c r="F28" s="252"/>
      <c r="G28" s="252"/>
      <c r="H28" s="252"/>
      <c r="I28" s="102"/>
    </row>
    <row r="29" spans="1:9">
      <c r="A29" s="102"/>
      <c r="B29" s="81"/>
      <c r="C29" s="81"/>
      <c r="D29" s="81"/>
      <c r="E29" s="81"/>
      <c r="F29" s="81"/>
      <c r="G29" s="81"/>
      <c r="H29" s="82"/>
      <c r="I29" s="102"/>
    </row>
    <row r="30" spans="1:9">
      <c r="A30" s="102"/>
      <c r="B30" s="81"/>
      <c r="C30" s="141" t="s">
        <v>96</v>
      </c>
      <c r="D30" s="141" t="s">
        <v>97</v>
      </c>
      <c r="E30" s="141" t="s">
        <v>98</v>
      </c>
      <c r="F30" s="141" t="s">
        <v>99</v>
      </c>
      <c r="G30" s="81"/>
      <c r="H30" s="82"/>
      <c r="I30" s="102"/>
    </row>
    <row r="31" spans="1:9">
      <c r="A31" s="102"/>
      <c r="B31" s="81"/>
      <c r="C31" s="163"/>
      <c r="D31" s="163">
        <v>230</v>
      </c>
      <c r="E31" s="164">
        <f>SUM(C31*D31)</f>
        <v>0</v>
      </c>
      <c r="F31" s="164">
        <f>SUM(E31/1000)</f>
        <v>0</v>
      </c>
      <c r="G31" s="81"/>
      <c r="H31" s="82"/>
      <c r="I31" s="102"/>
    </row>
    <row r="32" spans="1:9" ht="18">
      <c r="A32" s="102"/>
      <c r="B32" s="83"/>
      <c r="C32" s="83"/>
      <c r="D32" s="83"/>
      <c r="E32" s="83"/>
      <c r="F32" s="83"/>
      <c r="G32" s="83"/>
      <c r="H32" s="77"/>
      <c r="I32" s="102"/>
    </row>
  </sheetData>
  <mergeCells count="24">
    <mergeCell ref="G25:H25"/>
    <mergeCell ref="B26:H28"/>
    <mergeCell ref="G18:H18"/>
    <mergeCell ref="G19:H19"/>
    <mergeCell ref="G20:H20"/>
    <mergeCell ref="B21:F21"/>
    <mergeCell ref="G21:H21"/>
    <mergeCell ref="B22:D25"/>
    <mergeCell ref="E22:F22"/>
    <mergeCell ref="G22:H22"/>
    <mergeCell ref="E23:H24"/>
    <mergeCell ref="E25:F25"/>
    <mergeCell ref="G17:H17"/>
    <mergeCell ref="B5:H6"/>
    <mergeCell ref="E7:F7"/>
    <mergeCell ref="G8:H8"/>
    <mergeCell ref="G9:H9"/>
    <mergeCell ref="G10:H10"/>
    <mergeCell ref="G11:H11"/>
    <mergeCell ref="G12:H12"/>
    <mergeCell ref="G13:H13"/>
    <mergeCell ref="G14:H14"/>
    <mergeCell ref="G15:H15"/>
    <mergeCell ref="G16:H16"/>
  </mergeCells>
  <conditionalFormatting sqref="G9:H20">
    <cfRule type="cellIs" dxfId="0" priority="1" operator="between">
      <formula>0</formula>
      <formula>0</formula>
    </cfRule>
  </conditionalFormatting>
  <dataValidations count="1">
    <dataValidation allowBlank="1" showInputMessage="1" sqref="B5 I7 B7:E8 B21:F31 F8 G8:H31" xr:uid="{00000000-0002-0000-0400-000000000000}"/>
  </dataValidations>
  <pageMargins left="0.7" right="0.7" top="0.75" bottom="0.75" header="0.3" footer="0.3"/>
  <pageSetup paperSize="9" scale="91" fitToHeight="0" orientation="landscape"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6">
    <pageSetUpPr fitToPage="1"/>
  </sheetPr>
  <dimension ref="A1:L18"/>
  <sheetViews>
    <sheetView showGridLines="0" showZeros="0" zoomScaleNormal="100" workbookViewId="0">
      <selection activeCell="F17" activeCellId="1" sqref="B5:K16 F17:K17"/>
    </sheetView>
  </sheetViews>
  <sheetFormatPr defaultColWidth="0" defaultRowHeight="13.8" zeroHeight="1"/>
  <cols>
    <col min="1" max="1" width="1.6640625" style="102" customWidth="1"/>
    <col min="2" max="2" width="62.6640625" style="102" customWidth="1"/>
    <col min="3" max="5" width="8.33203125" style="102" bestFit="1" customWidth="1"/>
    <col min="6" max="6" width="10.44140625" style="102" bestFit="1" customWidth="1"/>
    <col min="7" max="8" width="11.44140625" style="102" bestFit="1" customWidth="1"/>
    <col min="9" max="9" width="17.33203125" style="102" customWidth="1"/>
    <col min="10" max="10" width="11.77734375" style="102" bestFit="1" customWidth="1"/>
    <col min="11" max="11" width="12.6640625" style="102" bestFit="1" customWidth="1"/>
    <col min="12" max="12" width="1.6640625" style="102" customWidth="1"/>
    <col min="13" max="16384" width="9.109375" style="102" hidden="1"/>
  </cols>
  <sheetData>
    <row r="1" spans="2:11"/>
    <row r="2" spans="2:11"/>
    <row r="3" spans="2:11" ht="14.4">
      <c r="B3" s="142" t="s">
        <v>56</v>
      </c>
      <c r="C3" s="329">
        <f>HOME!C6</f>
        <v>0</v>
      </c>
      <c r="D3" s="329"/>
      <c r="E3" s="329"/>
      <c r="F3" s="329"/>
      <c r="G3" s="142" t="s">
        <v>54</v>
      </c>
      <c r="H3" s="165">
        <f>HOME!C5</f>
        <v>0</v>
      </c>
      <c r="I3" s="143"/>
      <c r="J3" s="143"/>
      <c r="K3" s="143"/>
    </row>
    <row r="4" spans="2:11" ht="55.5" customHeight="1">
      <c r="B4" s="144" t="s">
        <v>74</v>
      </c>
      <c r="C4" s="145" t="s">
        <v>77</v>
      </c>
      <c r="D4" s="145" t="s">
        <v>78</v>
      </c>
      <c r="E4" s="145" t="s">
        <v>79</v>
      </c>
      <c r="F4" s="146" t="s">
        <v>100</v>
      </c>
      <c r="G4" s="146" t="s">
        <v>101</v>
      </c>
      <c r="H4" s="146" t="s">
        <v>102</v>
      </c>
      <c r="I4" s="146" t="s">
        <v>103</v>
      </c>
      <c r="J4" s="146" t="s">
        <v>104</v>
      </c>
      <c r="K4" s="146" t="s">
        <v>105</v>
      </c>
    </row>
    <row r="5" spans="2:11" ht="14.4">
      <c r="B5" s="166">
        <f>HOME!C15</f>
        <v>0</v>
      </c>
      <c r="C5" s="167"/>
      <c r="D5" s="167"/>
      <c r="E5" s="167"/>
      <c r="F5" s="167">
        <f t="shared" ref="F5:F16" si="0">SUM(C5+C5+D5+D5)</f>
        <v>0</v>
      </c>
      <c r="G5" s="167">
        <f t="shared" ref="G5:G16" si="1">SUM(C5*E5)</f>
        <v>0</v>
      </c>
      <c r="H5" s="167">
        <f t="shared" ref="H5:H16" si="2">SUM(D5*E5)</f>
        <v>0</v>
      </c>
      <c r="I5" s="167">
        <f t="shared" ref="I5:I16" si="3">SUM(G5+G5+H5+H5)</f>
        <v>0</v>
      </c>
      <c r="J5" s="167">
        <f t="shared" ref="J5:J16" si="4">SUM(C5*D5)</f>
        <v>0</v>
      </c>
      <c r="K5" s="167">
        <f t="shared" ref="K5:K16" si="5">SUM(C5*D5*E5)</f>
        <v>0</v>
      </c>
    </row>
    <row r="6" spans="2:11" ht="14.4">
      <c r="B6" s="166">
        <f>HOME!C16</f>
        <v>0</v>
      </c>
      <c r="C6" s="167"/>
      <c r="D6" s="167"/>
      <c r="E6" s="167"/>
      <c r="F6" s="167">
        <f t="shared" si="0"/>
        <v>0</v>
      </c>
      <c r="G6" s="167">
        <f t="shared" si="1"/>
        <v>0</v>
      </c>
      <c r="H6" s="167">
        <f t="shared" si="2"/>
        <v>0</v>
      </c>
      <c r="I6" s="167">
        <f t="shared" si="3"/>
        <v>0</v>
      </c>
      <c r="J6" s="167">
        <f t="shared" si="4"/>
        <v>0</v>
      </c>
      <c r="K6" s="167">
        <f t="shared" si="5"/>
        <v>0</v>
      </c>
    </row>
    <row r="7" spans="2:11" ht="14.4">
      <c r="B7" s="166">
        <f>HOME!C17</f>
        <v>0</v>
      </c>
      <c r="C7" s="167"/>
      <c r="D7" s="167"/>
      <c r="E7" s="167"/>
      <c r="F7" s="167">
        <f t="shared" si="0"/>
        <v>0</v>
      </c>
      <c r="G7" s="167">
        <f t="shared" si="1"/>
        <v>0</v>
      </c>
      <c r="H7" s="167">
        <f t="shared" si="2"/>
        <v>0</v>
      </c>
      <c r="I7" s="167">
        <f t="shared" si="3"/>
        <v>0</v>
      </c>
      <c r="J7" s="167">
        <f t="shared" si="4"/>
        <v>0</v>
      </c>
      <c r="K7" s="167">
        <f t="shared" si="5"/>
        <v>0</v>
      </c>
    </row>
    <row r="8" spans="2:11" ht="14.4">
      <c r="B8" s="166">
        <f>HOME!C18</f>
        <v>0</v>
      </c>
      <c r="C8" s="167"/>
      <c r="D8" s="167"/>
      <c r="E8" s="167"/>
      <c r="F8" s="167">
        <f t="shared" si="0"/>
        <v>0</v>
      </c>
      <c r="G8" s="167">
        <f t="shared" si="1"/>
        <v>0</v>
      </c>
      <c r="H8" s="167">
        <f t="shared" si="2"/>
        <v>0</v>
      </c>
      <c r="I8" s="167">
        <f t="shared" si="3"/>
        <v>0</v>
      </c>
      <c r="J8" s="167">
        <f t="shared" si="4"/>
        <v>0</v>
      </c>
      <c r="K8" s="167">
        <f t="shared" si="5"/>
        <v>0</v>
      </c>
    </row>
    <row r="9" spans="2:11" ht="14.4">
      <c r="B9" s="166">
        <f>HOME!C19</f>
        <v>0</v>
      </c>
      <c r="C9" s="167"/>
      <c r="D9" s="167"/>
      <c r="E9" s="167"/>
      <c r="F9" s="167">
        <f t="shared" si="0"/>
        <v>0</v>
      </c>
      <c r="G9" s="167">
        <f t="shared" si="1"/>
        <v>0</v>
      </c>
      <c r="H9" s="167">
        <f t="shared" si="2"/>
        <v>0</v>
      </c>
      <c r="I9" s="167">
        <f t="shared" si="3"/>
        <v>0</v>
      </c>
      <c r="J9" s="167">
        <f t="shared" si="4"/>
        <v>0</v>
      </c>
      <c r="K9" s="167">
        <f t="shared" si="5"/>
        <v>0</v>
      </c>
    </row>
    <row r="10" spans="2:11" ht="14.4">
      <c r="B10" s="166">
        <f>HOME!C20</f>
        <v>0</v>
      </c>
      <c r="C10" s="167"/>
      <c r="D10" s="167"/>
      <c r="E10" s="167"/>
      <c r="F10" s="167">
        <f t="shared" si="0"/>
        <v>0</v>
      </c>
      <c r="G10" s="167">
        <f t="shared" si="1"/>
        <v>0</v>
      </c>
      <c r="H10" s="167">
        <f t="shared" si="2"/>
        <v>0</v>
      </c>
      <c r="I10" s="167">
        <f t="shared" si="3"/>
        <v>0</v>
      </c>
      <c r="J10" s="167">
        <f t="shared" si="4"/>
        <v>0</v>
      </c>
      <c r="K10" s="167">
        <f t="shared" si="5"/>
        <v>0</v>
      </c>
    </row>
    <row r="11" spans="2:11" ht="14.4">
      <c r="B11" s="166">
        <f>HOME!C21</f>
        <v>0</v>
      </c>
      <c r="C11" s="167"/>
      <c r="D11" s="167"/>
      <c r="E11" s="167"/>
      <c r="F11" s="167">
        <f t="shared" si="0"/>
        <v>0</v>
      </c>
      <c r="G11" s="167">
        <f t="shared" si="1"/>
        <v>0</v>
      </c>
      <c r="H11" s="167">
        <f t="shared" si="2"/>
        <v>0</v>
      </c>
      <c r="I11" s="167">
        <f t="shared" si="3"/>
        <v>0</v>
      </c>
      <c r="J11" s="167">
        <f t="shared" si="4"/>
        <v>0</v>
      </c>
      <c r="K11" s="167">
        <f t="shared" si="5"/>
        <v>0</v>
      </c>
    </row>
    <row r="12" spans="2:11" ht="14.4">
      <c r="B12" s="166">
        <f>HOME!C22</f>
        <v>0</v>
      </c>
      <c r="C12" s="167"/>
      <c r="D12" s="167"/>
      <c r="E12" s="167"/>
      <c r="F12" s="167">
        <f t="shared" si="0"/>
        <v>0</v>
      </c>
      <c r="G12" s="167">
        <f t="shared" si="1"/>
        <v>0</v>
      </c>
      <c r="H12" s="167">
        <f t="shared" si="2"/>
        <v>0</v>
      </c>
      <c r="I12" s="167">
        <f t="shared" si="3"/>
        <v>0</v>
      </c>
      <c r="J12" s="167">
        <f t="shared" si="4"/>
        <v>0</v>
      </c>
      <c r="K12" s="167">
        <f t="shared" si="5"/>
        <v>0</v>
      </c>
    </row>
    <row r="13" spans="2:11" ht="14.4">
      <c r="B13" s="166">
        <f>HOME!C23</f>
        <v>0</v>
      </c>
      <c r="C13" s="167"/>
      <c r="D13" s="167"/>
      <c r="E13" s="167"/>
      <c r="F13" s="167">
        <f t="shared" si="0"/>
        <v>0</v>
      </c>
      <c r="G13" s="167">
        <f t="shared" si="1"/>
        <v>0</v>
      </c>
      <c r="H13" s="167">
        <f t="shared" si="2"/>
        <v>0</v>
      </c>
      <c r="I13" s="167">
        <f t="shared" si="3"/>
        <v>0</v>
      </c>
      <c r="J13" s="167">
        <f t="shared" si="4"/>
        <v>0</v>
      </c>
      <c r="K13" s="167">
        <f t="shared" si="5"/>
        <v>0</v>
      </c>
    </row>
    <row r="14" spans="2:11" ht="14.4">
      <c r="B14" s="166">
        <f>HOME!C24</f>
        <v>0</v>
      </c>
      <c r="C14" s="167"/>
      <c r="D14" s="167"/>
      <c r="E14" s="167"/>
      <c r="F14" s="167">
        <f t="shared" si="0"/>
        <v>0</v>
      </c>
      <c r="G14" s="167">
        <f t="shared" si="1"/>
        <v>0</v>
      </c>
      <c r="H14" s="167">
        <f t="shared" si="2"/>
        <v>0</v>
      </c>
      <c r="I14" s="167">
        <f t="shared" si="3"/>
        <v>0</v>
      </c>
      <c r="J14" s="167">
        <f t="shared" si="4"/>
        <v>0</v>
      </c>
      <c r="K14" s="167">
        <f t="shared" si="5"/>
        <v>0</v>
      </c>
    </row>
    <row r="15" spans="2:11" ht="14.4">
      <c r="B15" s="166">
        <f>HOME!C25</f>
        <v>0</v>
      </c>
      <c r="C15" s="167"/>
      <c r="D15" s="167"/>
      <c r="E15" s="167"/>
      <c r="F15" s="167">
        <f t="shared" si="0"/>
        <v>0</v>
      </c>
      <c r="G15" s="167">
        <f t="shared" si="1"/>
        <v>0</v>
      </c>
      <c r="H15" s="167">
        <f t="shared" si="2"/>
        <v>0</v>
      </c>
      <c r="I15" s="167">
        <f t="shared" si="3"/>
        <v>0</v>
      </c>
      <c r="J15" s="167">
        <f t="shared" si="4"/>
        <v>0</v>
      </c>
      <c r="K15" s="167">
        <f t="shared" si="5"/>
        <v>0</v>
      </c>
    </row>
    <row r="16" spans="2:11" ht="14.4">
      <c r="B16" s="166">
        <f>HOME!C26</f>
        <v>0</v>
      </c>
      <c r="C16" s="167"/>
      <c r="D16" s="167"/>
      <c r="E16" s="167"/>
      <c r="F16" s="167">
        <f t="shared" si="0"/>
        <v>0</v>
      </c>
      <c r="G16" s="167">
        <f t="shared" si="1"/>
        <v>0</v>
      </c>
      <c r="H16" s="167">
        <f t="shared" si="2"/>
        <v>0</v>
      </c>
      <c r="I16" s="167">
        <f t="shared" si="3"/>
        <v>0</v>
      </c>
      <c r="J16" s="167">
        <f t="shared" si="4"/>
        <v>0</v>
      </c>
      <c r="K16" s="167">
        <f t="shared" si="5"/>
        <v>0</v>
      </c>
    </row>
    <row r="17" spans="2:11" ht="18.75" customHeight="1">
      <c r="B17" s="330" t="s">
        <v>106</v>
      </c>
      <c r="C17" s="331"/>
      <c r="D17" s="331"/>
      <c r="E17" s="332"/>
      <c r="F17" s="167">
        <f t="shared" ref="F17:K17" si="6">SUM(F5:F16)</f>
        <v>0</v>
      </c>
      <c r="G17" s="167">
        <f t="shared" si="6"/>
        <v>0</v>
      </c>
      <c r="H17" s="167">
        <f t="shared" si="6"/>
        <v>0</v>
      </c>
      <c r="I17" s="167">
        <f t="shared" si="6"/>
        <v>0</v>
      </c>
      <c r="J17" s="167">
        <f t="shared" si="6"/>
        <v>0</v>
      </c>
      <c r="K17" s="167">
        <f t="shared" si="6"/>
        <v>0</v>
      </c>
    </row>
    <row r="18" spans="2:11">
      <c r="B18" s="103"/>
      <c r="C18" s="104"/>
      <c r="D18" s="104"/>
      <c r="E18" s="104"/>
      <c r="F18" s="105"/>
      <c r="G18" s="105"/>
      <c r="H18" s="105"/>
      <c r="I18" s="105"/>
      <c r="J18" s="105"/>
      <c r="K18" s="105"/>
    </row>
  </sheetData>
  <mergeCells count="2">
    <mergeCell ref="C3:F3"/>
    <mergeCell ref="B17:E17"/>
  </mergeCells>
  <pageMargins left="0.70866141732283472" right="0.70866141732283472" top="0.74803149606299213" bottom="0.74803149606299213" header="0.31496062992125984" footer="0.31496062992125984"/>
  <pageSetup paperSize="9" scale="79" orientation="landscape" r:id="rId1"/>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52"/>
  <sheetViews>
    <sheetView showGridLines="0" showZeros="0" workbookViewId="0">
      <selection activeCell="D18" sqref="D18:D19"/>
    </sheetView>
  </sheetViews>
  <sheetFormatPr defaultColWidth="0" defaultRowHeight="13.8" zeroHeight="1"/>
  <cols>
    <col min="1" max="1" width="1.6640625" style="92" customWidth="1"/>
    <col min="2" max="2" width="15.109375" style="92" customWidth="1"/>
    <col min="3" max="3" width="28.33203125" style="92" customWidth="1"/>
    <col min="4" max="4" width="11.44140625" style="92" customWidth="1"/>
    <col min="5" max="5" width="8.6640625" style="92" customWidth="1"/>
    <col min="6" max="6" width="11.77734375" style="92" customWidth="1"/>
    <col min="7" max="7" width="14.33203125" style="92" customWidth="1"/>
    <col min="8" max="8" width="14" style="92" customWidth="1"/>
    <col min="9" max="9" width="9.109375" style="106" hidden="1" customWidth="1"/>
    <col min="10" max="10" width="1.6640625" style="92" customWidth="1"/>
    <col min="11" max="16384" width="9.109375" style="92" hidden="1"/>
  </cols>
  <sheetData>
    <row r="1" spans="2:9" ht="15.6">
      <c r="B1" s="85" t="s">
        <v>107</v>
      </c>
      <c r="C1" s="390" t="s">
        <v>108</v>
      </c>
      <c r="D1" s="390"/>
      <c r="E1" s="390"/>
      <c r="F1" s="390"/>
      <c r="G1" s="390"/>
      <c r="H1" s="85"/>
    </row>
    <row r="2" spans="2:9" ht="8.25" customHeight="1">
      <c r="C2" s="30"/>
    </row>
    <row r="3" spans="2:9" ht="12.75" customHeight="1">
      <c r="B3" s="147" t="s">
        <v>109</v>
      </c>
      <c r="C3" s="403">
        <f>HOME!C6</f>
        <v>0</v>
      </c>
      <c r="D3" s="403"/>
      <c r="E3" s="402" t="s">
        <v>110</v>
      </c>
      <c r="F3" s="402"/>
      <c r="G3" s="402"/>
      <c r="H3" s="402"/>
    </row>
    <row r="4" spans="2:9" ht="14.25" customHeight="1">
      <c r="C4" s="30"/>
      <c r="E4" s="402"/>
      <c r="F4" s="402"/>
      <c r="G4" s="402"/>
      <c r="H4" s="402"/>
    </row>
    <row r="5" spans="2:9" ht="12.75" customHeight="1">
      <c r="B5" s="147" t="s">
        <v>111</v>
      </c>
      <c r="C5" s="69">
        <f>HOME!C5</f>
        <v>0</v>
      </c>
      <c r="E5" s="402"/>
      <c r="F5" s="402"/>
      <c r="G5" s="402"/>
      <c r="H5" s="402"/>
    </row>
    <row r="6" spans="2:9" ht="12.75" customHeight="1">
      <c r="C6" s="30"/>
      <c r="E6" s="107"/>
      <c r="F6" s="107"/>
      <c r="G6" s="107"/>
      <c r="H6" s="107"/>
      <c r="I6" s="106" t="b">
        <v>0</v>
      </c>
    </row>
    <row r="7" spans="2:9" ht="8.25" customHeight="1" thickBot="1"/>
    <row r="8" spans="2:9" ht="14.4" thickBot="1">
      <c r="B8" s="148" t="s">
        <v>112</v>
      </c>
      <c r="C8" s="148" t="s">
        <v>113</v>
      </c>
      <c r="D8" s="404" t="s">
        <v>114</v>
      </c>
      <c r="E8" s="404"/>
      <c r="F8" s="404"/>
      <c r="G8" s="404"/>
      <c r="H8" s="405"/>
    </row>
    <row r="9" spans="2:9" ht="15" customHeight="1">
      <c r="B9" s="31"/>
      <c r="C9" s="32"/>
      <c r="D9" s="399" t="s">
        <v>115</v>
      </c>
      <c r="E9" s="400"/>
      <c r="F9" s="400"/>
      <c r="G9" s="400"/>
      <c r="H9" s="401"/>
    </row>
    <row r="10" spans="2:9">
      <c r="B10" s="33"/>
      <c r="C10" s="34"/>
      <c r="D10" s="397" t="s">
        <v>116</v>
      </c>
      <c r="E10" s="398"/>
      <c r="F10" s="394" t="s">
        <v>117</v>
      </c>
      <c r="G10" s="395"/>
      <c r="H10" s="396"/>
    </row>
    <row r="11" spans="2:9">
      <c r="B11" s="33"/>
      <c r="C11" s="34"/>
      <c r="D11" s="35" t="s">
        <v>118</v>
      </c>
      <c r="E11" s="36">
        <v>1</v>
      </c>
      <c r="F11" s="37" t="s">
        <v>119</v>
      </c>
      <c r="G11" s="38"/>
      <c r="H11" s="39">
        <v>1</v>
      </c>
    </row>
    <row r="12" spans="2:9">
      <c r="B12" s="33"/>
      <c r="C12" s="34"/>
      <c r="D12" s="35" t="s">
        <v>120</v>
      </c>
      <c r="E12" s="36">
        <v>2</v>
      </c>
      <c r="F12" s="37" t="s">
        <v>121</v>
      </c>
      <c r="G12" s="38"/>
      <c r="H12" s="39">
        <v>2</v>
      </c>
    </row>
    <row r="13" spans="2:9">
      <c r="B13" s="33"/>
      <c r="C13" s="34"/>
      <c r="D13" s="40" t="s">
        <v>122</v>
      </c>
      <c r="E13" s="41">
        <v>3</v>
      </c>
      <c r="F13" s="42" t="s">
        <v>123</v>
      </c>
      <c r="G13" s="43"/>
      <c r="H13" s="44">
        <v>3</v>
      </c>
    </row>
    <row r="14" spans="2:9" ht="15.75" customHeight="1" thickBot="1">
      <c r="B14" s="45"/>
      <c r="C14" s="46"/>
      <c r="D14" s="391" t="s">
        <v>124</v>
      </c>
      <c r="E14" s="392"/>
      <c r="F14" s="392"/>
      <c r="G14" s="392"/>
      <c r="H14" s="393"/>
    </row>
    <row r="15" spans="2:9" ht="6.75" customHeight="1" thickBot="1">
      <c r="B15" s="47"/>
      <c r="C15" s="47"/>
      <c r="D15" s="47"/>
      <c r="E15" s="47"/>
      <c r="F15" s="47"/>
      <c r="G15" s="47"/>
      <c r="H15" s="47"/>
    </row>
    <row r="16" spans="2:9" ht="15" customHeight="1">
      <c r="B16" s="347" t="s">
        <v>125</v>
      </c>
      <c r="C16" s="333" t="s">
        <v>126</v>
      </c>
      <c r="D16" s="179" t="s">
        <v>127</v>
      </c>
      <c r="E16" s="359" t="s">
        <v>128</v>
      </c>
      <c r="F16" s="360"/>
      <c r="G16" s="360"/>
      <c r="H16" s="361"/>
    </row>
    <row r="17" spans="2:8" ht="15.75" customHeight="1" thickBot="1">
      <c r="B17" s="348"/>
      <c r="C17" s="334"/>
      <c r="D17" s="180" t="s">
        <v>129</v>
      </c>
      <c r="E17" s="362"/>
      <c r="F17" s="363"/>
      <c r="G17" s="363"/>
      <c r="H17" s="364"/>
    </row>
    <row r="18" spans="2:8">
      <c r="B18" s="335" t="s">
        <v>130</v>
      </c>
      <c r="C18" s="337" t="s">
        <v>131</v>
      </c>
      <c r="D18" s="339"/>
      <c r="E18" s="341" t="s">
        <v>132</v>
      </c>
      <c r="F18" s="342"/>
      <c r="G18" s="342"/>
      <c r="H18" s="343"/>
    </row>
    <row r="19" spans="2:8">
      <c r="B19" s="336"/>
      <c r="C19" s="338"/>
      <c r="D19" s="340"/>
      <c r="E19" s="344"/>
      <c r="F19" s="345"/>
      <c r="G19" s="345"/>
      <c r="H19" s="346"/>
    </row>
    <row r="20" spans="2:8">
      <c r="B20" s="349" t="s">
        <v>133</v>
      </c>
      <c r="C20" s="351" t="s">
        <v>134</v>
      </c>
      <c r="D20" s="352"/>
      <c r="E20" s="353" t="s">
        <v>135</v>
      </c>
      <c r="F20" s="354"/>
      <c r="G20" s="354"/>
      <c r="H20" s="355"/>
    </row>
    <row r="21" spans="2:8">
      <c r="B21" s="350"/>
      <c r="C21" s="338"/>
      <c r="D21" s="340"/>
      <c r="E21" s="344"/>
      <c r="F21" s="345"/>
      <c r="G21" s="345"/>
      <c r="H21" s="346"/>
    </row>
    <row r="22" spans="2:8">
      <c r="B22" s="349" t="s">
        <v>136</v>
      </c>
      <c r="C22" s="351" t="s">
        <v>137</v>
      </c>
      <c r="D22" s="183"/>
      <c r="E22" s="356" t="s">
        <v>138</v>
      </c>
      <c r="F22" s="357"/>
      <c r="G22" s="357"/>
      <c r="H22" s="358"/>
    </row>
    <row r="23" spans="2:8">
      <c r="B23" s="350"/>
      <c r="C23" s="338"/>
      <c r="D23" s="178"/>
      <c r="E23" s="48"/>
      <c r="F23" s="48"/>
      <c r="G23" s="48"/>
      <c r="H23" s="49"/>
    </row>
    <row r="24" spans="2:8">
      <c r="B24" s="380" t="s">
        <v>139</v>
      </c>
      <c r="C24" s="351" t="s">
        <v>140</v>
      </c>
      <c r="D24" s="352"/>
      <c r="E24" s="384" t="s">
        <v>141</v>
      </c>
      <c r="F24" s="385"/>
      <c r="G24" s="385"/>
      <c r="H24" s="386"/>
    </row>
    <row r="25" spans="2:8">
      <c r="B25" s="381"/>
      <c r="C25" s="382"/>
      <c r="D25" s="383"/>
      <c r="E25" s="385"/>
      <c r="F25" s="385"/>
      <c r="G25" s="385"/>
      <c r="H25" s="386"/>
    </row>
    <row r="26" spans="2:8">
      <c r="B26" s="381"/>
      <c r="C26" s="108"/>
      <c r="D26" s="109"/>
      <c r="F26" s="50"/>
      <c r="G26" s="50"/>
      <c r="H26" s="51"/>
    </row>
    <row r="27" spans="2:8" ht="20.399999999999999">
      <c r="B27" s="381"/>
      <c r="C27" s="185" t="s">
        <v>142</v>
      </c>
      <c r="D27" s="109"/>
      <c r="E27" s="384" t="s">
        <v>143</v>
      </c>
      <c r="F27" s="384"/>
      <c r="G27" s="384"/>
      <c r="H27" s="387"/>
    </row>
    <row r="28" spans="2:8">
      <c r="B28" s="110"/>
      <c r="C28" s="108"/>
      <c r="D28" s="109"/>
      <c r="H28" s="111"/>
    </row>
    <row r="29" spans="2:8">
      <c r="B29" s="112"/>
      <c r="C29" s="113"/>
      <c r="D29" s="114"/>
      <c r="E29" s="345" t="s">
        <v>144</v>
      </c>
      <c r="F29" s="345"/>
      <c r="G29" s="345"/>
      <c r="H29" s="346"/>
    </row>
    <row r="30" spans="2:8" ht="20.399999999999999">
      <c r="B30" s="181" t="s">
        <v>145</v>
      </c>
      <c r="C30" s="182" t="s">
        <v>146</v>
      </c>
      <c r="D30" s="183"/>
      <c r="E30" s="356" t="s">
        <v>147</v>
      </c>
      <c r="F30" s="357"/>
      <c r="G30" s="357"/>
      <c r="H30" s="358"/>
    </row>
    <row r="31" spans="2:8" ht="30.6">
      <c r="B31" s="181" t="s">
        <v>148</v>
      </c>
      <c r="C31" s="52" t="s">
        <v>149</v>
      </c>
      <c r="D31" s="183"/>
      <c r="E31" s="353" t="s">
        <v>150</v>
      </c>
      <c r="F31" s="354"/>
      <c r="G31" s="354"/>
      <c r="H31" s="355"/>
    </row>
    <row r="32" spans="2:8">
      <c r="B32" s="110"/>
      <c r="C32" s="108"/>
      <c r="D32" s="186"/>
      <c r="E32" s="115"/>
      <c r="H32" s="111"/>
    </row>
    <row r="33" spans="2:9" ht="20.399999999999999">
      <c r="B33" s="112"/>
      <c r="C33" s="177" t="s">
        <v>151</v>
      </c>
      <c r="D33" s="178"/>
      <c r="E33" s="344" t="s">
        <v>152</v>
      </c>
      <c r="F33" s="345"/>
      <c r="G33" s="345"/>
      <c r="H33" s="346"/>
    </row>
    <row r="34" spans="2:9" ht="30.6">
      <c r="B34" s="181" t="s">
        <v>153</v>
      </c>
      <c r="C34" s="53" t="s">
        <v>154</v>
      </c>
      <c r="D34" s="183"/>
      <c r="E34" s="353" t="s">
        <v>155</v>
      </c>
      <c r="F34" s="354"/>
      <c r="G34" s="354"/>
      <c r="H34" s="355"/>
    </row>
    <row r="35" spans="2:9">
      <c r="B35" s="110"/>
      <c r="C35" s="108"/>
      <c r="D35" s="109"/>
      <c r="H35" s="111"/>
    </row>
    <row r="36" spans="2:9" ht="20.399999999999999">
      <c r="B36" s="112"/>
      <c r="C36" s="177" t="s">
        <v>156</v>
      </c>
      <c r="D36" s="114"/>
      <c r="E36" s="344" t="s">
        <v>157</v>
      </c>
      <c r="F36" s="378"/>
      <c r="G36" s="378"/>
      <c r="H36" s="379"/>
    </row>
    <row r="37" spans="2:9" ht="20.399999999999999">
      <c r="B37" s="184" t="s">
        <v>158</v>
      </c>
      <c r="C37" s="54" t="s">
        <v>159</v>
      </c>
      <c r="D37" s="116"/>
      <c r="E37" s="353" t="s">
        <v>160</v>
      </c>
      <c r="F37" s="354"/>
      <c r="G37" s="354"/>
      <c r="H37" s="355"/>
    </row>
    <row r="38" spans="2:9" ht="0.75" customHeight="1">
      <c r="B38" s="110"/>
      <c r="C38" s="117"/>
      <c r="D38" s="109"/>
      <c r="H38" s="111"/>
    </row>
    <row r="39" spans="2:9" ht="44.25" customHeight="1">
      <c r="B39" s="55"/>
      <c r="C39" s="177" t="s">
        <v>161</v>
      </c>
      <c r="D39" s="178"/>
      <c r="E39" s="345" t="s">
        <v>162</v>
      </c>
      <c r="F39" s="345"/>
      <c r="G39" s="345"/>
      <c r="H39" s="346"/>
    </row>
    <row r="40" spans="2:9" ht="24.75" customHeight="1">
      <c r="B40" s="56" t="s">
        <v>163</v>
      </c>
      <c r="C40" s="57" t="s">
        <v>164</v>
      </c>
      <c r="D40" s="58"/>
      <c r="E40" s="357" t="s">
        <v>165</v>
      </c>
      <c r="F40" s="357"/>
      <c r="G40" s="357"/>
      <c r="H40" s="358"/>
    </row>
    <row r="41" spans="2:9" ht="35.25" customHeight="1">
      <c r="B41" s="59" t="s">
        <v>166</v>
      </c>
      <c r="C41" s="182" t="s">
        <v>167</v>
      </c>
      <c r="D41" s="183"/>
      <c r="E41" s="354" t="s">
        <v>168</v>
      </c>
      <c r="F41" s="354"/>
      <c r="G41" s="354"/>
      <c r="H41" s="355"/>
    </row>
    <row r="42" spans="2:9" ht="2.25" customHeight="1">
      <c r="B42" s="110"/>
      <c r="C42" s="60"/>
      <c r="D42" s="186"/>
      <c r="E42" s="47"/>
      <c r="F42" s="47"/>
      <c r="G42" s="47"/>
      <c r="H42" s="61"/>
    </row>
    <row r="43" spans="2:9" ht="33.75" customHeight="1">
      <c r="B43" s="55"/>
      <c r="C43" s="177" t="s">
        <v>169</v>
      </c>
      <c r="D43" s="178"/>
      <c r="E43" s="345" t="s">
        <v>170</v>
      </c>
      <c r="F43" s="345"/>
      <c r="G43" s="345"/>
      <c r="H43" s="346"/>
    </row>
    <row r="44" spans="2:9">
      <c r="B44" s="62" t="s">
        <v>171</v>
      </c>
      <c r="C44" s="63" t="s">
        <v>172</v>
      </c>
      <c r="D44" s="58"/>
      <c r="E44" s="64" t="s">
        <v>173</v>
      </c>
      <c r="F44" s="64"/>
      <c r="G44" s="64"/>
      <c r="H44" s="65"/>
    </row>
    <row r="45" spans="2:9" ht="21" customHeight="1">
      <c r="B45" s="66" t="s">
        <v>174</v>
      </c>
      <c r="C45" s="57" t="s">
        <v>175</v>
      </c>
      <c r="D45" s="58"/>
      <c r="E45" s="357" t="s">
        <v>176</v>
      </c>
      <c r="F45" s="357"/>
      <c r="G45" s="357"/>
      <c r="H45" s="358"/>
    </row>
    <row r="46" spans="2:9" ht="12.75" customHeight="1">
      <c r="B46" s="365" t="s">
        <v>177</v>
      </c>
      <c r="C46" s="366"/>
      <c r="D46" s="366"/>
      <c r="E46" s="366"/>
      <c r="F46" s="366"/>
      <c r="G46" s="366"/>
      <c r="H46" s="367"/>
    </row>
    <row r="47" spans="2:9" ht="15" customHeight="1">
      <c r="B47" s="149" t="s">
        <v>178</v>
      </c>
      <c r="C47" s="368" t="s">
        <v>179</v>
      </c>
      <c r="D47" s="369"/>
      <c r="E47" s="151" t="s">
        <v>180</v>
      </c>
      <c r="F47" s="374" t="s">
        <v>181</v>
      </c>
      <c r="G47" s="374"/>
      <c r="H47" s="375"/>
      <c r="I47" s="106" t="b">
        <v>0</v>
      </c>
    </row>
    <row r="48" spans="2:9" ht="12.75" hidden="1" customHeight="1">
      <c r="B48" s="112"/>
      <c r="C48" s="370"/>
      <c r="D48" s="371"/>
      <c r="E48" s="118"/>
      <c r="F48" s="376"/>
      <c r="G48" s="376"/>
      <c r="H48" s="377"/>
    </row>
    <row r="49" spans="2:9" ht="19.5" customHeight="1" thickBot="1">
      <c r="B49" s="119" t="str">
        <f>IF(I47=TRUE,"Safe","")</f>
        <v/>
      </c>
      <c r="C49" s="372"/>
      <c r="D49" s="373"/>
      <c r="E49" s="120" t="str">
        <f>IF(I49=TRUE,"Unsafe","")</f>
        <v/>
      </c>
      <c r="F49" s="376"/>
      <c r="G49" s="376"/>
      <c r="H49" s="377"/>
      <c r="I49" s="106" t="b">
        <v>0</v>
      </c>
    </row>
    <row r="50" spans="2:9" ht="23.25" customHeight="1" thickBot="1">
      <c r="B50" s="150" t="s">
        <v>182</v>
      </c>
      <c r="C50" s="67"/>
      <c r="D50" s="152" t="s">
        <v>183</v>
      </c>
      <c r="E50" s="388">
        <f>C50</f>
        <v>0</v>
      </c>
      <c r="F50" s="389"/>
      <c r="G50" s="152" t="s">
        <v>64</v>
      </c>
      <c r="H50" s="68"/>
    </row>
    <row r="51" spans="2:9" ht="14.25" customHeight="1"/>
    <row r="52" spans="2:9" ht="15.75" hidden="1" customHeight="1"/>
  </sheetData>
  <mergeCells count="43">
    <mergeCell ref="C1:G1"/>
    <mergeCell ref="D14:H14"/>
    <mergeCell ref="F10:H10"/>
    <mergeCell ref="D10:E10"/>
    <mergeCell ref="D9:H9"/>
    <mergeCell ref="E3:H5"/>
    <mergeCell ref="C3:D3"/>
    <mergeCell ref="D8:H8"/>
    <mergeCell ref="E50:F50"/>
    <mergeCell ref="E39:H39"/>
    <mergeCell ref="E40:H40"/>
    <mergeCell ref="E41:H41"/>
    <mergeCell ref="E43:H43"/>
    <mergeCell ref="E45:H45"/>
    <mergeCell ref="E29:H29"/>
    <mergeCell ref="E16:H17"/>
    <mergeCell ref="B46:H46"/>
    <mergeCell ref="C47:D49"/>
    <mergeCell ref="F47:H49"/>
    <mergeCell ref="E30:H30"/>
    <mergeCell ref="E31:H31"/>
    <mergeCell ref="E33:H33"/>
    <mergeCell ref="E34:H34"/>
    <mergeCell ref="E36:H36"/>
    <mergeCell ref="E37:H37"/>
    <mergeCell ref="B24:B27"/>
    <mergeCell ref="C24:C25"/>
    <mergeCell ref="D24:D25"/>
    <mergeCell ref="E24:H25"/>
    <mergeCell ref="E27:H27"/>
    <mergeCell ref="B20:B21"/>
    <mergeCell ref="C20:C21"/>
    <mergeCell ref="D20:D21"/>
    <mergeCell ref="E20:H21"/>
    <mergeCell ref="B22:B23"/>
    <mergeCell ref="C22:C23"/>
    <mergeCell ref="E22:H22"/>
    <mergeCell ref="C16:C17"/>
    <mergeCell ref="B18:B19"/>
    <mergeCell ref="C18:C19"/>
    <mergeCell ref="D18:D19"/>
    <mergeCell ref="E18:H19"/>
    <mergeCell ref="B16:B17"/>
  </mergeCells>
  <pageMargins left="0.7" right="0.7" top="0.75" bottom="0.75" header="0.3" footer="0.3"/>
  <pageSetup paperSize="9" scale="84"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51201" r:id="rId4" name="Check Box 1">
              <controlPr defaultSize="0" autoFill="0" autoLine="0" autoPict="0">
                <anchor moveWithCells="1">
                  <from>
                    <xdr:col>1</xdr:col>
                    <xdr:colOff>396240</xdr:colOff>
                    <xdr:row>45</xdr:row>
                    <xdr:rowOff>99060</xdr:rowOff>
                  </from>
                  <to>
                    <xdr:col>1</xdr:col>
                    <xdr:colOff>594360</xdr:colOff>
                    <xdr:row>46</xdr:row>
                    <xdr:rowOff>129540</xdr:rowOff>
                  </to>
                </anchor>
              </controlPr>
            </control>
          </mc:Choice>
        </mc:AlternateContent>
        <mc:AlternateContent xmlns:mc="http://schemas.openxmlformats.org/markup-compatibility/2006">
          <mc:Choice Requires="x14">
            <control shapeId="51202" r:id="rId5" name="Check Box 2">
              <controlPr defaultSize="0" autoFill="0" autoLine="0" autoPict="0">
                <anchor moveWithCells="1">
                  <from>
                    <xdr:col>4</xdr:col>
                    <xdr:colOff>243840</xdr:colOff>
                    <xdr:row>45</xdr:row>
                    <xdr:rowOff>99060</xdr:rowOff>
                  </from>
                  <to>
                    <xdr:col>5</xdr:col>
                    <xdr:colOff>53340</xdr:colOff>
                    <xdr:row>46</xdr:row>
                    <xdr:rowOff>129540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O35"/>
  <sheetViews>
    <sheetView showGridLines="0" workbookViewId="0">
      <selection activeCell="B8" sqref="B8:L34"/>
    </sheetView>
  </sheetViews>
  <sheetFormatPr defaultColWidth="0" defaultRowHeight="14.4" zeroHeight="1"/>
  <cols>
    <col min="1" max="1" width="1.6640625" customWidth="1"/>
    <col min="2" max="2" width="6.77734375" bestFit="1" customWidth="1"/>
    <col min="3" max="3" width="20.6640625" bestFit="1" customWidth="1"/>
    <col min="4" max="4" width="7.33203125" bestFit="1" customWidth="1"/>
    <col min="5" max="5" width="9" bestFit="1" customWidth="1"/>
    <col min="6" max="6" width="9.33203125" bestFit="1" customWidth="1"/>
    <col min="7" max="7" width="6.44140625" bestFit="1" customWidth="1"/>
    <col min="8" max="8" width="7.77734375" bestFit="1" customWidth="1"/>
    <col min="9" max="9" width="22.6640625" bestFit="1" customWidth="1"/>
    <col min="10" max="10" width="19" bestFit="1" customWidth="1"/>
    <col min="11" max="11" width="10.44140625" bestFit="1" customWidth="1"/>
    <col min="12" max="12" width="13.44140625" bestFit="1" customWidth="1"/>
    <col min="13" max="13" width="1.6640625" customWidth="1"/>
    <col min="14" max="15" width="0" hidden="1" customWidth="1"/>
    <col min="16" max="16384" width="9.109375" hidden="1"/>
  </cols>
  <sheetData>
    <row r="1" spans="2:12"/>
    <row r="2" spans="2:12">
      <c r="B2" s="193" t="s">
        <v>184</v>
      </c>
      <c r="C2" s="193"/>
      <c r="D2" s="407">
        <f>HOME!C6</f>
        <v>0</v>
      </c>
      <c r="E2" s="408"/>
      <c r="F2" s="408"/>
      <c r="G2" s="408"/>
      <c r="H2" s="408"/>
      <c r="I2" s="409"/>
    </row>
    <row r="3" spans="2:12">
      <c r="B3" s="193" t="s">
        <v>185</v>
      </c>
      <c r="C3" s="193"/>
      <c r="D3" s="407">
        <f>HOME!C7</f>
        <v>0</v>
      </c>
      <c r="E3" s="408"/>
      <c r="F3" s="408"/>
      <c r="G3" s="408"/>
      <c r="H3" s="408"/>
      <c r="I3" s="409"/>
    </row>
    <row r="4" spans="2:12">
      <c r="B4" s="193" t="s">
        <v>186</v>
      </c>
      <c r="C4" s="193"/>
      <c r="D4" s="407">
        <f>HOME!C5</f>
        <v>0</v>
      </c>
      <c r="E4" s="408"/>
      <c r="F4" s="408"/>
      <c r="G4" s="408"/>
      <c r="H4" s="408"/>
      <c r="I4" s="409"/>
    </row>
    <row r="5" spans="2:12">
      <c r="B5" s="193" t="s">
        <v>187</v>
      </c>
      <c r="C5" s="193"/>
      <c r="D5" s="407">
        <f>HOME!C10</f>
        <v>0</v>
      </c>
      <c r="E5" s="408"/>
      <c r="F5" s="408"/>
      <c r="G5" s="408"/>
      <c r="H5" s="408"/>
      <c r="I5" s="409"/>
    </row>
    <row r="6" spans="2:12" ht="23.4">
      <c r="B6" s="406" t="s">
        <v>188</v>
      </c>
      <c r="C6" s="406"/>
      <c r="D6" s="406"/>
      <c r="E6" s="406"/>
      <c r="F6" s="406"/>
      <c r="G6" s="406"/>
      <c r="H6" s="406"/>
      <c r="I6" s="406"/>
      <c r="J6" s="406"/>
      <c r="K6" s="406"/>
      <c r="L6" s="406"/>
    </row>
    <row r="7" spans="2:12">
      <c r="B7" s="153" t="s">
        <v>189</v>
      </c>
      <c r="C7" s="153" t="s">
        <v>190</v>
      </c>
      <c r="D7" s="153" t="s">
        <v>191</v>
      </c>
      <c r="E7" s="153" t="s">
        <v>192</v>
      </c>
      <c r="F7" s="153" t="s">
        <v>193</v>
      </c>
      <c r="G7" s="153" t="s">
        <v>194</v>
      </c>
      <c r="H7" s="153" t="s">
        <v>195</v>
      </c>
      <c r="I7" s="153" t="s">
        <v>196</v>
      </c>
      <c r="J7" s="153" t="s">
        <v>197</v>
      </c>
      <c r="K7" s="153" t="s">
        <v>198</v>
      </c>
      <c r="L7" s="153" t="s">
        <v>199</v>
      </c>
    </row>
    <row r="8" spans="2:12">
      <c r="B8" s="130"/>
      <c r="C8" s="130"/>
      <c r="D8" s="130"/>
      <c r="E8" s="130"/>
      <c r="F8" s="130"/>
      <c r="G8" s="130"/>
      <c r="H8" s="130"/>
      <c r="I8" s="130"/>
      <c r="J8" s="130"/>
      <c r="K8" s="130"/>
      <c r="L8" s="130"/>
    </row>
    <row r="9" spans="2:12">
      <c r="B9" s="130"/>
      <c r="C9" s="130"/>
      <c r="D9" s="130"/>
      <c r="E9" s="130"/>
      <c r="F9" s="130"/>
      <c r="G9" s="130"/>
      <c r="H9" s="130"/>
      <c r="I9" s="130"/>
      <c r="J9" s="130"/>
      <c r="K9" s="130"/>
      <c r="L9" s="130"/>
    </row>
    <row r="10" spans="2:12">
      <c r="B10" s="130"/>
      <c r="C10" s="130"/>
      <c r="D10" s="130"/>
      <c r="E10" s="130"/>
      <c r="F10" s="130"/>
      <c r="G10" s="130"/>
      <c r="H10" s="130"/>
      <c r="I10" s="130"/>
      <c r="J10" s="130"/>
      <c r="K10" s="130"/>
      <c r="L10" s="130"/>
    </row>
    <row r="11" spans="2:12">
      <c r="B11" s="130"/>
      <c r="C11" s="130"/>
      <c r="D11" s="130"/>
      <c r="E11" s="130"/>
      <c r="F11" s="130"/>
      <c r="G11" s="130"/>
      <c r="H11" s="130"/>
      <c r="I11" s="130"/>
      <c r="J11" s="130"/>
      <c r="K11" s="130"/>
      <c r="L11" s="130"/>
    </row>
    <row r="12" spans="2:12">
      <c r="B12" s="130"/>
      <c r="C12" s="130"/>
      <c r="D12" s="130"/>
      <c r="E12" s="130"/>
      <c r="F12" s="130"/>
      <c r="G12" s="130"/>
      <c r="H12" s="130"/>
      <c r="I12" s="130"/>
      <c r="J12" s="130"/>
      <c r="K12" s="130"/>
      <c r="L12" s="130"/>
    </row>
    <row r="13" spans="2:12">
      <c r="B13" s="130"/>
      <c r="C13" s="130"/>
      <c r="D13" s="130"/>
      <c r="E13" s="130"/>
      <c r="F13" s="130"/>
      <c r="G13" s="130"/>
      <c r="H13" s="130"/>
      <c r="I13" s="130"/>
      <c r="J13" s="130"/>
      <c r="K13" s="130"/>
      <c r="L13" s="130"/>
    </row>
    <row r="14" spans="2:12">
      <c r="B14" s="130"/>
      <c r="C14" s="130"/>
      <c r="D14" s="130"/>
      <c r="E14" s="130"/>
      <c r="F14" s="130"/>
      <c r="G14" s="130"/>
      <c r="H14" s="130"/>
      <c r="I14" s="130"/>
      <c r="J14" s="130"/>
      <c r="K14" s="130"/>
      <c r="L14" s="130"/>
    </row>
    <row r="15" spans="2:12">
      <c r="B15" s="130"/>
      <c r="C15" s="130"/>
      <c r="D15" s="130"/>
      <c r="E15" s="130"/>
      <c r="F15" s="130"/>
      <c r="G15" s="130"/>
      <c r="H15" s="130"/>
      <c r="I15" s="130"/>
      <c r="J15" s="130"/>
      <c r="K15" s="130"/>
      <c r="L15" s="130"/>
    </row>
    <row r="16" spans="2:12">
      <c r="B16" s="130"/>
      <c r="C16" s="130"/>
      <c r="D16" s="130"/>
      <c r="E16" s="130"/>
      <c r="F16" s="130"/>
      <c r="G16" s="130"/>
      <c r="H16" s="130"/>
      <c r="I16" s="130"/>
      <c r="J16" s="130"/>
      <c r="K16" s="130"/>
      <c r="L16" s="130"/>
    </row>
    <row r="17" spans="2:12">
      <c r="B17" s="130"/>
      <c r="C17" s="130"/>
      <c r="D17" s="130"/>
      <c r="E17" s="130"/>
      <c r="F17" s="130"/>
      <c r="G17" s="130"/>
      <c r="H17" s="130"/>
      <c r="I17" s="130"/>
      <c r="J17" s="130"/>
      <c r="K17" s="130"/>
      <c r="L17" s="130"/>
    </row>
    <row r="18" spans="2:12">
      <c r="B18" s="130"/>
      <c r="C18" s="130"/>
      <c r="D18" s="130"/>
      <c r="E18" s="130"/>
      <c r="F18" s="130"/>
      <c r="G18" s="130"/>
      <c r="H18" s="130"/>
      <c r="I18" s="130"/>
      <c r="J18" s="130"/>
      <c r="K18" s="130"/>
      <c r="L18" s="130"/>
    </row>
    <row r="19" spans="2:12">
      <c r="B19" s="130"/>
      <c r="C19" s="130"/>
      <c r="D19" s="130"/>
      <c r="E19" s="130"/>
      <c r="F19" s="130"/>
      <c r="G19" s="130"/>
      <c r="H19" s="130"/>
      <c r="I19" s="130"/>
      <c r="J19" s="130"/>
      <c r="K19" s="130"/>
      <c r="L19" s="130"/>
    </row>
    <row r="20" spans="2:12">
      <c r="B20" s="130"/>
      <c r="C20" s="130"/>
      <c r="D20" s="130"/>
      <c r="E20" s="130"/>
      <c r="F20" s="130"/>
      <c r="G20" s="130"/>
      <c r="H20" s="130"/>
      <c r="I20" s="130"/>
      <c r="J20" s="130"/>
      <c r="K20" s="130"/>
      <c r="L20" s="130"/>
    </row>
    <row r="21" spans="2:12">
      <c r="B21" s="130"/>
      <c r="C21" s="130"/>
      <c r="D21" s="130"/>
      <c r="E21" s="130"/>
      <c r="F21" s="130"/>
      <c r="G21" s="130"/>
      <c r="H21" s="130"/>
      <c r="I21" s="130"/>
      <c r="J21" s="130"/>
      <c r="K21" s="130"/>
      <c r="L21" s="130"/>
    </row>
    <row r="22" spans="2:12">
      <c r="B22" s="130"/>
      <c r="C22" s="130"/>
      <c r="D22" s="130"/>
      <c r="E22" s="130"/>
      <c r="F22" s="130"/>
      <c r="G22" s="130"/>
      <c r="H22" s="130"/>
      <c r="I22" s="130"/>
      <c r="J22" s="130"/>
      <c r="K22" s="130"/>
      <c r="L22" s="130"/>
    </row>
    <row r="23" spans="2:12">
      <c r="B23" s="130"/>
      <c r="C23" s="130"/>
      <c r="D23" s="130"/>
      <c r="E23" s="130"/>
      <c r="F23" s="130"/>
      <c r="G23" s="130"/>
      <c r="H23" s="130"/>
      <c r="I23" s="130"/>
      <c r="J23" s="130"/>
      <c r="K23" s="130"/>
      <c r="L23" s="130"/>
    </row>
    <row r="24" spans="2:12">
      <c r="B24" s="130"/>
      <c r="C24" s="130"/>
      <c r="D24" s="130"/>
      <c r="E24" s="130"/>
      <c r="F24" s="130"/>
      <c r="G24" s="130"/>
      <c r="H24" s="130"/>
      <c r="I24" s="130"/>
      <c r="J24" s="130"/>
      <c r="K24" s="130"/>
      <c r="L24" s="130"/>
    </row>
    <row r="25" spans="2:12">
      <c r="B25" s="130"/>
      <c r="C25" s="130"/>
      <c r="D25" s="130"/>
      <c r="E25" s="130"/>
      <c r="F25" s="130"/>
      <c r="G25" s="130"/>
      <c r="H25" s="130"/>
      <c r="I25" s="130"/>
      <c r="J25" s="130"/>
      <c r="K25" s="130"/>
      <c r="L25" s="130"/>
    </row>
    <row r="26" spans="2:12">
      <c r="B26" s="130"/>
      <c r="C26" s="130"/>
      <c r="D26" s="130"/>
      <c r="E26" s="130"/>
      <c r="F26" s="130"/>
      <c r="G26" s="130"/>
      <c r="H26" s="130"/>
      <c r="I26" s="130"/>
      <c r="J26" s="130"/>
      <c r="K26" s="130"/>
      <c r="L26" s="130"/>
    </row>
    <row r="27" spans="2:12">
      <c r="B27" s="130"/>
      <c r="C27" s="130"/>
      <c r="D27" s="130"/>
      <c r="E27" s="130"/>
      <c r="F27" s="130"/>
      <c r="G27" s="130"/>
      <c r="H27" s="130"/>
      <c r="I27" s="130"/>
      <c r="J27" s="130"/>
      <c r="K27" s="130"/>
      <c r="L27" s="130"/>
    </row>
    <row r="28" spans="2:12">
      <c r="B28" s="130"/>
      <c r="C28" s="130"/>
      <c r="D28" s="130"/>
      <c r="E28" s="130"/>
      <c r="F28" s="130"/>
      <c r="G28" s="130"/>
      <c r="H28" s="130"/>
      <c r="I28" s="130"/>
      <c r="J28" s="130"/>
      <c r="K28" s="130"/>
      <c r="L28" s="130"/>
    </row>
    <row r="29" spans="2:12">
      <c r="B29" s="130"/>
      <c r="C29" s="130"/>
      <c r="D29" s="130"/>
      <c r="E29" s="130"/>
      <c r="F29" s="130"/>
      <c r="G29" s="130"/>
      <c r="H29" s="130"/>
      <c r="I29" s="130"/>
      <c r="J29" s="130"/>
      <c r="K29" s="130"/>
      <c r="L29" s="130"/>
    </row>
    <row r="30" spans="2:12">
      <c r="B30" s="130"/>
      <c r="C30" s="130"/>
      <c r="D30" s="130"/>
      <c r="E30" s="130"/>
      <c r="F30" s="130"/>
      <c r="G30" s="130"/>
      <c r="H30" s="130"/>
      <c r="I30" s="130"/>
      <c r="J30" s="130"/>
      <c r="K30" s="130"/>
      <c r="L30" s="130"/>
    </row>
    <row r="31" spans="2:12" hidden="1">
      <c r="B31" s="130"/>
      <c r="C31" s="130"/>
      <c r="D31" s="130"/>
      <c r="E31" s="130"/>
      <c r="F31" s="130"/>
      <c r="G31" s="130"/>
      <c r="H31" s="130"/>
      <c r="I31" s="130"/>
      <c r="J31" s="130"/>
      <c r="K31" s="130"/>
      <c r="L31" s="130"/>
    </row>
    <row r="32" spans="2:12" hidden="1">
      <c r="B32" s="130"/>
      <c r="C32" s="130"/>
      <c r="D32" s="130"/>
      <c r="E32" s="130"/>
      <c r="F32" s="130"/>
      <c r="G32" s="130"/>
      <c r="H32" s="130"/>
      <c r="I32" s="130"/>
      <c r="J32" s="130"/>
      <c r="K32" s="130"/>
      <c r="L32" s="130"/>
    </row>
    <row r="33" spans="2:12" hidden="1">
      <c r="B33" s="130"/>
      <c r="C33" s="130"/>
      <c r="D33" s="130"/>
      <c r="E33" s="130"/>
      <c r="F33" s="130"/>
      <c r="G33" s="130"/>
      <c r="H33" s="130"/>
      <c r="I33" s="130"/>
      <c r="J33" s="130"/>
      <c r="K33" s="130"/>
      <c r="L33" s="130"/>
    </row>
    <row r="34" spans="2:12">
      <c r="B34" s="130"/>
      <c r="C34" s="130"/>
      <c r="D34" s="130"/>
      <c r="E34" s="130"/>
      <c r="F34" s="130"/>
      <c r="G34" s="130"/>
      <c r="H34" s="130"/>
      <c r="I34" s="130"/>
      <c r="J34" s="130"/>
      <c r="K34" s="130"/>
      <c r="L34" s="130"/>
    </row>
    <row r="35" spans="2:12"/>
  </sheetData>
  <mergeCells count="9">
    <mergeCell ref="B6:L6"/>
    <mergeCell ref="D2:I2"/>
    <mergeCell ref="D3:I3"/>
    <mergeCell ref="D4:I4"/>
    <mergeCell ref="D5:I5"/>
    <mergeCell ref="B2:C2"/>
    <mergeCell ref="B3:C3"/>
    <mergeCell ref="B4:C4"/>
    <mergeCell ref="B5:C5"/>
  </mergeCells>
  <pageMargins left="0.7" right="0.7" top="0.75" bottom="0.75" header="0.3" footer="0.3"/>
  <pageSetup paperSize="9" scale="97" fitToHeight="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I36"/>
  <sheetViews>
    <sheetView showGridLines="0" tabSelected="1" workbookViewId="0">
      <selection activeCell="C16" sqref="C16"/>
    </sheetView>
  </sheetViews>
  <sheetFormatPr defaultColWidth="0" defaultRowHeight="14.4" zeroHeight="1"/>
  <cols>
    <col min="1" max="1" width="1.6640625" style="72" customWidth="1"/>
    <col min="2" max="3" width="35.6640625" style="72" customWidth="1"/>
    <col min="4" max="4" width="10.6640625" style="72" customWidth="1"/>
    <col min="5" max="5" width="25.6640625" style="72" customWidth="1"/>
    <col min="6" max="6" width="35.6640625" style="72" customWidth="1"/>
    <col min="7" max="8" width="15.6640625" style="72" customWidth="1"/>
    <col min="9" max="9" width="1.6640625" style="72" customWidth="1"/>
    <col min="10" max="16384" width="9.109375" style="72" hidden="1"/>
  </cols>
  <sheetData>
    <row r="1" spans="2:8"/>
    <row r="2" spans="2:8">
      <c r="B2" s="173" t="s">
        <v>184</v>
      </c>
      <c r="C2" s="412" t="s">
        <v>275</v>
      </c>
      <c r="D2" s="412"/>
      <c r="E2" s="412"/>
    </row>
    <row r="3" spans="2:8">
      <c r="B3" s="173" t="s">
        <v>185</v>
      </c>
      <c r="C3" s="412" t="s">
        <v>274</v>
      </c>
      <c r="D3" s="412"/>
      <c r="E3" s="412"/>
    </row>
    <row r="4" spans="2:8">
      <c r="B4" s="173" t="s">
        <v>186</v>
      </c>
      <c r="C4" s="412">
        <v>90964727181</v>
      </c>
      <c r="D4" s="412"/>
      <c r="E4" s="412"/>
      <c r="F4" s="126"/>
    </row>
    <row r="5" spans="2:8">
      <c r="B5" s="189" t="s">
        <v>187</v>
      </c>
      <c r="C5" s="413" t="s">
        <v>276</v>
      </c>
      <c r="D5" s="413"/>
      <c r="E5" s="413"/>
      <c r="F5" s="127"/>
      <c r="G5" s="127"/>
      <c r="H5" s="127"/>
    </row>
    <row r="6" spans="2:8" ht="23.4">
      <c r="B6" s="276" t="s">
        <v>200</v>
      </c>
      <c r="C6" s="276"/>
      <c r="D6" s="276"/>
      <c r="E6" s="276"/>
      <c r="F6" s="276"/>
      <c r="G6" s="276"/>
      <c r="H6" s="276"/>
    </row>
    <row r="7" spans="2:8" ht="28.8">
      <c r="B7" s="187" t="s">
        <v>201</v>
      </c>
      <c r="C7" s="187" t="s">
        <v>202</v>
      </c>
      <c r="D7" s="187" t="s">
        <v>203</v>
      </c>
      <c r="E7" s="187" t="s">
        <v>204</v>
      </c>
      <c r="F7" s="187" t="s">
        <v>205</v>
      </c>
      <c r="G7" s="187" t="s">
        <v>206</v>
      </c>
      <c r="H7" s="187" t="s">
        <v>207</v>
      </c>
    </row>
    <row r="8" spans="2:8" ht="16.95" customHeight="1">
      <c r="B8" s="125" t="s">
        <v>268</v>
      </c>
      <c r="C8" s="125" t="s">
        <v>269</v>
      </c>
      <c r="D8" s="125" t="s">
        <v>270</v>
      </c>
      <c r="E8" s="125" t="s">
        <v>271</v>
      </c>
      <c r="F8" s="125" t="s">
        <v>272</v>
      </c>
      <c r="G8" s="125" t="s">
        <v>273</v>
      </c>
      <c r="H8" s="125"/>
    </row>
    <row r="9" spans="2:8" ht="16.95" customHeight="1">
      <c r="B9" s="125" t="s">
        <v>277</v>
      </c>
      <c r="C9" s="125" t="s">
        <v>272</v>
      </c>
      <c r="D9" s="125" t="s">
        <v>270</v>
      </c>
      <c r="E9" s="125" t="s">
        <v>271</v>
      </c>
      <c r="F9" s="125" t="s">
        <v>272</v>
      </c>
      <c r="G9" s="125" t="s">
        <v>273</v>
      </c>
      <c r="H9" s="125"/>
    </row>
    <row r="10" spans="2:8" ht="16.95" customHeight="1">
      <c r="B10" s="125" t="s">
        <v>278</v>
      </c>
      <c r="C10" s="125" t="s">
        <v>272</v>
      </c>
      <c r="D10" s="125" t="s">
        <v>270</v>
      </c>
      <c r="E10" s="125" t="s">
        <v>271</v>
      </c>
      <c r="F10" s="125" t="s">
        <v>272</v>
      </c>
      <c r="G10" s="125" t="s">
        <v>273</v>
      </c>
      <c r="H10" s="125"/>
    </row>
    <row r="11" spans="2:8" ht="16.95" customHeight="1">
      <c r="B11" s="125" t="s">
        <v>279</v>
      </c>
      <c r="C11" s="125" t="s">
        <v>272</v>
      </c>
      <c r="D11" s="125" t="s">
        <v>270</v>
      </c>
      <c r="E11" s="125" t="s">
        <v>271</v>
      </c>
      <c r="F11" s="125" t="s">
        <v>272</v>
      </c>
      <c r="G11" s="125" t="s">
        <v>273</v>
      </c>
      <c r="H11" s="125"/>
    </row>
    <row r="12" spans="2:8" ht="16.95" customHeight="1">
      <c r="B12" s="125" t="s">
        <v>281</v>
      </c>
      <c r="C12" s="125" t="s">
        <v>280</v>
      </c>
      <c r="D12" s="125" t="s">
        <v>270</v>
      </c>
      <c r="E12" s="125" t="s">
        <v>271</v>
      </c>
      <c r="F12" s="125" t="s">
        <v>272</v>
      </c>
      <c r="G12" s="125" t="s">
        <v>273</v>
      </c>
      <c r="H12" s="125"/>
    </row>
    <row r="13" spans="2:8" ht="16.95" customHeight="1">
      <c r="B13" s="125" t="s">
        <v>282</v>
      </c>
      <c r="C13" s="125" t="s">
        <v>272</v>
      </c>
      <c r="D13" s="125" t="s">
        <v>270</v>
      </c>
      <c r="E13" s="125" t="s">
        <v>271</v>
      </c>
      <c r="F13" s="125" t="s">
        <v>272</v>
      </c>
      <c r="G13" s="125" t="s">
        <v>273</v>
      </c>
      <c r="H13" s="125"/>
    </row>
    <row r="14" spans="2:8" ht="16.95" customHeight="1">
      <c r="B14" s="125"/>
      <c r="C14" s="125"/>
      <c r="D14" s="125"/>
      <c r="E14" s="125"/>
      <c r="F14" s="125"/>
      <c r="G14" s="125"/>
      <c r="H14" s="125"/>
    </row>
    <row r="15" spans="2:8" ht="16.95" customHeight="1">
      <c r="B15" s="125"/>
      <c r="C15" s="125"/>
      <c r="D15" s="125"/>
      <c r="E15" s="125"/>
      <c r="F15" s="125"/>
      <c r="G15" s="125"/>
      <c r="H15" s="125"/>
    </row>
    <row r="16" spans="2:8" ht="16.95" customHeight="1">
      <c r="B16" s="125"/>
      <c r="C16" s="125"/>
      <c r="D16" s="125"/>
      <c r="E16" s="125"/>
      <c r="F16" s="125"/>
      <c r="G16" s="125"/>
      <c r="H16" s="125"/>
    </row>
    <row r="17" spans="2:8" ht="16.95" customHeight="1">
      <c r="B17" s="125"/>
      <c r="C17" s="125"/>
      <c r="D17" s="125"/>
      <c r="E17" s="125"/>
      <c r="F17" s="125"/>
      <c r="G17" s="125"/>
      <c r="H17" s="125"/>
    </row>
    <row r="18" spans="2:8" ht="16.95" customHeight="1">
      <c r="B18" s="125"/>
      <c r="C18" s="125"/>
      <c r="D18" s="125"/>
      <c r="E18" s="125"/>
      <c r="F18" s="125"/>
      <c r="G18" s="125"/>
      <c r="H18" s="125"/>
    </row>
    <row r="19" spans="2:8" ht="16.95" customHeight="1">
      <c r="B19" s="125"/>
      <c r="C19" s="125"/>
      <c r="D19" s="125"/>
      <c r="E19" s="125"/>
      <c r="F19" s="125"/>
      <c r="G19" s="125"/>
      <c r="H19" s="125"/>
    </row>
    <row r="20" spans="2:8" ht="16.95" customHeight="1">
      <c r="B20" s="125"/>
      <c r="C20" s="125"/>
      <c r="D20" s="125"/>
      <c r="E20" s="125"/>
      <c r="F20" s="125"/>
      <c r="G20" s="125"/>
      <c r="H20" s="125"/>
    </row>
    <row r="21" spans="2:8" ht="16.95" customHeight="1">
      <c r="B21" s="125"/>
      <c r="C21" s="125"/>
      <c r="D21" s="125"/>
      <c r="E21" s="125"/>
      <c r="F21" s="125"/>
      <c r="G21" s="125"/>
      <c r="H21" s="125"/>
    </row>
    <row r="22" spans="2:8" ht="16.95" customHeight="1">
      <c r="B22" s="125"/>
      <c r="C22" s="125"/>
      <c r="D22" s="125"/>
      <c r="E22" s="125"/>
      <c r="F22" s="125"/>
      <c r="G22" s="125"/>
      <c r="H22" s="125"/>
    </row>
    <row r="23" spans="2:8" ht="16.95" customHeight="1">
      <c r="B23" s="125"/>
      <c r="C23" s="125"/>
      <c r="D23" s="125"/>
      <c r="E23" s="125"/>
      <c r="F23" s="125"/>
      <c r="G23" s="125"/>
      <c r="H23" s="125"/>
    </row>
    <row r="24" spans="2:8" ht="16.95" customHeight="1">
      <c r="B24" s="125"/>
      <c r="C24" s="125"/>
      <c r="D24" s="125"/>
      <c r="E24" s="125"/>
      <c r="F24" s="125"/>
      <c r="G24" s="125"/>
      <c r="H24" s="125"/>
    </row>
    <row r="25" spans="2:8" ht="16.95" customHeight="1">
      <c r="B25" s="125"/>
      <c r="C25" s="125"/>
      <c r="D25" s="125"/>
      <c r="E25" s="125"/>
      <c r="F25" s="125"/>
      <c r="G25" s="125"/>
      <c r="H25" s="125"/>
    </row>
    <row r="26" spans="2:8" ht="16.95" customHeight="1">
      <c r="B26" s="125"/>
      <c r="C26" s="125"/>
      <c r="D26" s="125"/>
      <c r="E26" s="125"/>
      <c r="F26" s="125"/>
      <c r="G26" s="125"/>
      <c r="H26" s="125"/>
    </row>
    <row r="27" spans="2:8" ht="16.95" customHeight="1">
      <c r="B27" s="125"/>
      <c r="C27" s="125"/>
      <c r="D27" s="125"/>
      <c r="E27" s="125"/>
      <c r="F27" s="125"/>
      <c r="G27" s="125"/>
      <c r="H27" s="125"/>
    </row>
    <row r="28" spans="2:8" ht="16.95" customHeight="1">
      <c r="B28" s="125"/>
      <c r="C28" s="125"/>
      <c r="D28" s="125"/>
      <c r="E28" s="125"/>
      <c r="F28" s="125"/>
      <c r="G28" s="125"/>
      <c r="H28" s="125"/>
    </row>
    <row r="29" spans="2:8" ht="16.95" customHeight="1">
      <c r="B29" s="128"/>
      <c r="C29" s="128"/>
      <c r="D29" s="128"/>
      <c r="E29" s="128"/>
      <c r="F29" s="128"/>
      <c r="G29" s="128"/>
      <c r="H29" s="128"/>
    </row>
    <row r="30" spans="2:8" ht="16.95" customHeight="1">
      <c r="B30" s="128"/>
      <c r="C30" s="128"/>
      <c r="D30" s="128"/>
      <c r="E30" s="128"/>
      <c r="F30" s="128"/>
      <c r="G30" s="128"/>
      <c r="H30" s="128"/>
    </row>
    <row r="31" spans="2:8" ht="16.95" customHeight="1">
      <c r="B31" s="129"/>
      <c r="C31" s="129"/>
      <c r="D31" s="129"/>
      <c r="E31" s="129"/>
      <c r="F31" s="129"/>
      <c r="G31" s="129"/>
      <c r="H31" s="129"/>
    </row>
    <row r="32" spans="2:8" ht="16.95" customHeight="1">
      <c r="B32" s="411" t="s">
        <v>66</v>
      </c>
      <c r="C32" s="410"/>
      <c r="D32" s="411" t="s">
        <v>208</v>
      </c>
      <c r="E32" s="411"/>
      <c r="F32" s="410"/>
      <c r="G32" s="411" t="s">
        <v>64</v>
      </c>
      <c r="H32" s="410"/>
    </row>
    <row r="33" spans="2:8" ht="16.95" customHeight="1">
      <c r="B33" s="411"/>
      <c r="C33" s="410"/>
      <c r="D33" s="411"/>
      <c r="E33" s="411"/>
      <c r="F33" s="410"/>
      <c r="G33" s="411"/>
      <c r="H33" s="410"/>
    </row>
    <row r="34" spans="2:8"/>
    <row r="35" spans="2:8"/>
    <row r="36" spans="2:8"/>
  </sheetData>
  <mergeCells count="11">
    <mergeCell ref="C2:E2"/>
    <mergeCell ref="C3:E3"/>
    <mergeCell ref="C4:E4"/>
    <mergeCell ref="C5:E5"/>
    <mergeCell ref="B6:H6"/>
    <mergeCell ref="H32:H33"/>
    <mergeCell ref="G32:G33"/>
    <mergeCell ref="D32:E33"/>
    <mergeCell ref="B32:B33"/>
    <mergeCell ref="C32:C33"/>
    <mergeCell ref="F32:F33"/>
  </mergeCells>
  <pageMargins left="0.7" right="0.7" top="0.75" bottom="0.75" header="0.3" footer="0.3"/>
  <pageSetup paperSize="9" scale="74" fitToHeight="0"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K32"/>
  <sheetViews>
    <sheetView showGridLines="0" workbookViewId="0">
      <selection activeCell="A33" sqref="A33:XFD41"/>
    </sheetView>
  </sheetViews>
  <sheetFormatPr defaultColWidth="0" defaultRowHeight="14.4" zeroHeight="1"/>
  <cols>
    <col min="1" max="1" width="1.6640625" customWidth="1"/>
    <col min="2" max="2" width="18.6640625" bestFit="1" customWidth="1"/>
    <col min="3" max="3" width="20.6640625" customWidth="1"/>
    <col min="4" max="4" width="14.6640625" bestFit="1" customWidth="1"/>
    <col min="5" max="6" width="13.44140625" bestFit="1" customWidth="1"/>
    <col min="7" max="7" width="7.109375" bestFit="1" customWidth="1"/>
    <col min="8" max="8" width="19.6640625" bestFit="1" customWidth="1"/>
    <col min="9" max="9" width="20.6640625" customWidth="1"/>
    <col min="10" max="10" width="1.6640625" customWidth="1"/>
    <col min="11" max="11" width="0" hidden="1" customWidth="1"/>
    <col min="12" max="16384" width="9.109375" hidden="1"/>
  </cols>
  <sheetData>
    <row r="1" spans="2:9" s="72" customFormat="1"/>
    <row r="2" spans="2:9" s="72" customFormat="1">
      <c r="B2" s="173" t="s">
        <v>184</v>
      </c>
      <c r="C2" s="412">
        <f>HOME!C6</f>
        <v>0</v>
      </c>
      <c r="D2" s="412"/>
      <c r="E2" s="412"/>
    </row>
    <row r="3" spans="2:9" s="72" customFormat="1">
      <c r="B3" s="173" t="s">
        <v>185</v>
      </c>
      <c r="C3" s="412">
        <f>HOME!C7</f>
        <v>0</v>
      </c>
      <c r="D3" s="412"/>
      <c r="E3" s="412"/>
    </row>
    <row r="4" spans="2:9" s="72" customFormat="1">
      <c r="B4" s="173" t="s">
        <v>186</v>
      </c>
      <c r="C4" s="412">
        <f>HOME!C5</f>
        <v>0</v>
      </c>
      <c r="D4" s="412"/>
      <c r="E4" s="412"/>
      <c r="F4" s="126"/>
    </row>
    <row r="5" spans="2:9" s="72" customFormat="1">
      <c r="B5" s="189" t="s">
        <v>187</v>
      </c>
      <c r="C5" s="413">
        <f>HOME!C10</f>
        <v>0</v>
      </c>
      <c r="D5" s="413"/>
      <c r="E5" s="413"/>
      <c r="F5" s="127"/>
      <c r="G5" s="127"/>
      <c r="H5" s="127"/>
    </row>
    <row r="6" spans="2:9" s="72" customFormat="1" ht="23.4">
      <c r="B6" s="276" t="s">
        <v>19</v>
      </c>
      <c r="C6" s="276"/>
      <c r="D6" s="276"/>
      <c r="E6" s="276"/>
      <c r="F6" s="276"/>
      <c r="G6" s="276"/>
      <c r="H6" s="276"/>
      <c r="I6" s="276"/>
    </row>
    <row r="7" spans="2:9"/>
    <row r="8" spans="2:9">
      <c r="B8" s="153" t="s">
        <v>209</v>
      </c>
      <c r="C8" s="153" t="s">
        <v>210</v>
      </c>
      <c r="D8" s="153" t="s">
        <v>211</v>
      </c>
      <c r="E8" s="153" t="s">
        <v>212</v>
      </c>
      <c r="F8" s="153" t="s">
        <v>213</v>
      </c>
      <c r="G8" s="153" t="s">
        <v>214</v>
      </c>
      <c r="H8" s="153" t="s">
        <v>215</v>
      </c>
      <c r="I8" s="153" t="s">
        <v>46</v>
      </c>
    </row>
    <row r="9" spans="2:9">
      <c r="B9" s="130"/>
      <c r="C9" s="130"/>
      <c r="D9" s="130"/>
      <c r="E9" s="130"/>
      <c r="F9" s="130"/>
      <c r="G9" s="130"/>
      <c r="H9" s="130"/>
      <c r="I9" s="130"/>
    </row>
    <row r="10" spans="2:9">
      <c r="B10" s="130"/>
      <c r="C10" s="130"/>
      <c r="D10" s="130"/>
      <c r="E10" s="130"/>
      <c r="F10" s="130"/>
      <c r="G10" s="130"/>
      <c r="H10" s="130"/>
      <c r="I10" s="130"/>
    </row>
    <row r="11" spans="2:9">
      <c r="B11" s="130"/>
      <c r="C11" s="130"/>
      <c r="D11" s="130"/>
      <c r="E11" s="130"/>
      <c r="F11" s="130"/>
      <c r="G11" s="130"/>
      <c r="H11" s="130"/>
      <c r="I11" s="130"/>
    </row>
    <row r="12" spans="2:9">
      <c r="B12" s="130"/>
      <c r="C12" s="130"/>
      <c r="D12" s="130"/>
      <c r="E12" s="130"/>
      <c r="F12" s="130"/>
      <c r="G12" s="130"/>
      <c r="H12" s="130"/>
      <c r="I12" s="130"/>
    </row>
    <row r="13" spans="2:9">
      <c r="B13" s="130"/>
      <c r="C13" s="130"/>
      <c r="D13" s="130"/>
      <c r="E13" s="130"/>
      <c r="F13" s="130"/>
      <c r="G13" s="130"/>
      <c r="H13" s="130"/>
      <c r="I13" s="130"/>
    </row>
    <row r="14" spans="2:9">
      <c r="B14" s="130"/>
      <c r="C14" s="130"/>
      <c r="D14" s="130"/>
      <c r="E14" s="130"/>
      <c r="F14" s="130"/>
      <c r="G14" s="130"/>
      <c r="H14" s="130"/>
      <c r="I14" s="130"/>
    </row>
    <row r="15" spans="2:9">
      <c r="B15" s="130"/>
      <c r="C15" s="130"/>
      <c r="D15" s="130"/>
      <c r="E15" s="130"/>
      <c r="F15" s="130"/>
      <c r="G15" s="130"/>
      <c r="H15" s="130"/>
      <c r="I15" s="130"/>
    </row>
    <row r="16" spans="2:9">
      <c r="B16" s="130"/>
      <c r="C16" s="130"/>
      <c r="D16" s="130"/>
      <c r="E16" s="130"/>
      <c r="F16" s="130"/>
      <c r="G16" s="130"/>
      <c r="H16" s="130"/>
      <c r="I16" s="130"/>
    </row>
    <row r="17" spans="2:9">
      <c r="B17" s="130"/>
      <c r="C17" s="130"/>
      <c r="D17" s="130"/>
      <c r="E17" s="130"/>
      <c r="F17" s="130"/>
      <c r="G17" s="130"/>
      <c r="H17" s="130"/>
      <c r="I17" s="130"/>
    </row>
    <row r="18" spans="2:9">
      <c r="B18" s="130"/>
      <c r="C18" s="130"/>
      <c r="D18" s="130"/>
      <c r="E18" s="130"/>
      <c r="F18" s="130"/>
      <c r="G18" s="130"/>
      <c r="H18" s="130"/>
      <c r="I18" s="130"/>
    </row>
    <row r="19" spans="2:9">
      <c r="B19" s="130"/>
      <c r="C19" s="130"/>
      <c r="D19" s="130"/>
      <c r="E19" s="130"/>
      <c r="F19" s="130"/>
      <c r="G19" s="130"/>
      <c r="H19" s="130"/>
      <c r="I19" s="130"/>
    </row>
    <row r="20" spans="2:9">
      <c r="B20" s="130"/>
      <c r="C20" s="130"/>
      <c r="D20" s="130"/>
      <c r="E20" s="130"/>
      <c r="F20" s="130"/>
      <c r="G20" s="130"/>
      <c r="H20" s="130"/>
      <c r="I20" s="130"/>
    </row>
    <row r="21" spans="2:9">
      <c r="B21" s="130"/>
      <c r="C21" s="130"/>
      <c r="D21" s="130"/>
      <c r="E21" s="130"/>
      <c r="F21" s="130"/>
      <c r="G21" s="130"/>
      <c r="H21" s="130"/>
      <c r="I21" s="130"/>
    </row>
    <row r="22" spans="2:9">
      <c r="B22" s="130"/>
      <c r="C22" s="130"/>
      <c r="D22" s="130"/>
      <c r="E22" s="130"/>
      <c r="F22" s="130"/>
      <c r="G22" s="130"/>
      <c r="H22" s="130"/>
      <c r="I22" s="130"/>
    </row>
    <row r="23" spans="2:9">
      <c r="B23" s="130"/>
      <c r="C23" s="130"/>
      <c r="D23" s="130"/>
      <c r="E23" s="130"/>
      <c r="F23" s="130"/>
      <c r="G23" s="130"/>
      <c r="H23" s="130"/>
      <c r="I23" s="130"/>
    </row>
    <row r="24" spans="2:9">
      <c r="B24" s="130"/>
      <c r="C24" s="130"/>
      <c r="D24" s="130"/>
      <c r="E24" s="130"/>
      <c r="F24" s="130"/>
      <c r="G24" s="130"/>
      <c r="H24" s="130"/>
      <c r="I24" s="130"/>
    </row>
    <row r="25" spans="2:9">
      <c r="B25" s="130"/>
      <c r="C25" s="130"/>
      <c r="D25" s="130"/>
      <c r="E25" s="130"/>
      <c r="F25" s="130"/>
      <c r="G25" s="130"/>
      <c r="H25" s="130"/>
      <c r="I25" s="130"/>
    </row>
    <row r="26" spans="2:9">
      <c r="B26" s="130"/>
      <c r="C26" s="130"/>
      <c r="D26" s="130"/>
      <c r="E26" s="130"/>
      <c r="F26" s="130"/>
      <c r="G26" s="130"/>
      <c r="H26" s="130"/>
      <c r="I26" s="130"/>
    </row>
    <row r="27" spans="2:9">
      <c r="B27" s="130"/>
      <c r="C27" s="130"/>
      <c r="D27" s="130"/>
      <c r="E27" s="130"/>
      <c r="F27" s="130"/>
      <c r="G27" s="130"/>
      <c r="H27" s="130"/>
      <c r="I27" s="130"/>
    </row>
    <row r="28" spans="2:9">
      <c r="B28" s="130"/>
      <c r="C28" s="130"/>
      <c r="D28" s="130"/>
      <c r="E28" s="130"/>
      <c r="F28" s="130"/>
      <c r="G28" s="130"/>
      <c r="H28" s="130"/>
      <c r="I28" s="130"/>
    </row>
    <row r="29" spans="2:9"/>
    <row r="30" spans="2:9" s="72" customFormat="1" ht="16.95" customHeight="1">
      <c r="B30" s="411" t="s">
        <v>66</v>
      </c>
      <c r="C30" s="414"/>
      <c r="D30" s="411" t="s">
        <v>208</v>
      </c>
      <c r="E30" s="411"/>
      <c r="F30" s="415"/>
      <c r="G30" s="416"/>
      <c r="H30" s="411" t="s">
        <v>64</v>
      </c>
      <c r="I30" s="410"/>
    </row>
    <row r="31" spans="2:9" s="72" customFormat="1" ht="16.95" customHeight="1">
      <c r="B31" s="411"/>
      <c r="C31" s="414"/>
      <c r="D31" s="411"/>
      <c r="E31" s="411"/>
      <c r="F31" s="417"/>
      <c r="G31" s="418"/>
      <c r="H31" s="411"/>
      <c r="I31" s="410"/>
    </row>
    <row r="32" spans="2:9"/>
  </sheetData>
  <mergeCells count="11">
    <mergeCell ref="C2:E2"/>
    <mergeCell ref="C3:E3"/>
    <mergeCell ref="C4:E4"/>
    <mergeCell ref="C5:E5"/>
    <mergeCell ref="B6:I6"/>
    <mergeCell ref="B30:B31"/>
    <mergeCell ref="C30:C31"/>
    <mergeCell ref="D30:E31"/>
    <mergeCell ref="H30:H31"/>
    <mergeCell ref="I30:I31"/>
    <mergeCell ref="F30:G31"/>
  </mergeCells>
  <pageMargins left="0.7" right="0.7" top="0.75" bottom="0.75" header="0.3" footer="0.3"/>
  <pageSetup paperSize="9" fitToHeight="0"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K33"/>
  <sheetViews>
    <sheetView showGridLines="0" workbookViewId="0">
      <selection activeCell="B8" sqref="B8:J32"/>
    </sheetView>
  </sheetViews>
  <sheetFormatPr defaultColWidth="0" defaultRowHeight="14.4" zeroHeight="1"/>
  <cols>
    <col min="1" max="1" width="1.6640625" customWidth="1"/>
    <col min="2" max="2" width="30.6640625" customWidth="1"/>
    <col min="3" max="3" width="15.77734375" customWidth="1"/>
    <col min="4" max="4" width="15" customWidth="1"/>
    <col min="5" max="5" width="15.44140625" customWidth="1"/>
    <col min="6" max="6" width="12.33203125" customWidth="1"/>
    <col min="7" max="7" width="12" customWidth="1"/>
    <col min="8" max="8" width="11" customWidth="1"/>
    <col min="9" max="9" width="12.44140625" customWidth="1"/>
    <col min="10" max="10" width="11.33203125" customWidth="1"/>
    <col min="11" max="11" width="1.6640625" customWidth="1"/>
    <col min="12" max="16384" width="9.109375" hidden="1"/>
  </cols>
  <sheetData>
    <row r="1" spans="2:10" ht="12.75" customHeight="1"/>
    <row r="2" spans="2:10">
      <c r="B2" s="154" t="s">
        <v>184</v>
      </c>
      <c r="C2" s="419">
        <f>HOME!C6</f>
        <v>0</v>
      </c>
      <c r="D2" s="419"/>
      <c r="E2" s="155"/>
      <c r="F2" s="155"/>
      <c r="G2" s="155"/>
      <c r="H2" s="155"/>
      <c r="I2" s="155"/>
      <c r="J2" s="155"/>
    </row>
    <row r="3" spans="2:10">
      <c r="B3" s="154" t="s">
        <v>185</v>
      </c>
      <c r="C3" s="419">
        <f>HOME!C7</f>
        <v>0</v>
      </c>
      <c r="D3" s="419"/>
      <c r="E3" s="155"/>
      <c r="F3" s="155"/>
      <c r="G3" s="155"/>
      <c r="H3" s="155"/>
      <c r="I3" s="155"/>
      <c r="J3" s="155"/>
    </row>
    <row r="4" spans="2:10">
      <c r="B4" s="154" t="s">
        <v>186</v>
      </c>
      <c r="C4" s="419">
        <f>HOME!C5</f>
        <v>0</v>
      </c>
      <c r="D4" s="419"/>
      <c r="E4" s="155"/>
      <c r="F4" s="155"/>
      <c r="G4" s="155"/>
      <c r="H4" s="155"/>
      <c r="I4" s="155"/>
      <c r="J4" s="155"/>
    </row>
    <row r="5" spans="2:10">
      <c r="B5" s="154" t="s">
        <v>187</v>
      </c>
      <c r="C5" s="419">
        <f>HOME!C10</f>
        <v>0</v>
      </c>
      <c r="D5" s="419"/>
      <c r="E5" s="155"/>
      <c r="F5" s="155"/>
      <c r="G5" s="155"/>
      <c r="H5" s="155"/>
      <c r="I5" s="155"/>
      <c r="J5" s="155"/>
    </row>
    <row r="6" spans="2:10" ht="23.4">
      <c r="B6" s="420" t="s">
        <v>21</v>
      </c>
      <c r="C6" s="420"/>
      <c r="D6" s="420"/>
      <c r="E6" s="420"/>
      <c r="F6" s="420"/>
      <c r="G6" s="420"/>
      <c r="H6" s="420"/>
      <c r="I6" s="420"/>
      <c r="J6" s="420"/>
    </row>
    <row r="7" spans="2:10" ht="36">
      <c r="B7" s="156" t="s">
        <v>201</v>
      </c>
      <c r="C7" s="156" t="s">
        <v>216</v>
      </c>
      <c r="D7" s="156" t="s">
        <v>217</v>
      </c>
      <c r="E7" s="156" t="s">
        <v>218</v>
      </c>
      <c r="F7" s="156" t="s">
        <v>219</v>
      </c>
      <c r="G7" s="156" t="s">
        <v>220</v>
      </c>
      <c r="H7" s="156" t="s">
        <v>207</v>
      </c>
      <c r="I7" s="157" t="s">
        <v>221</v>
      </c>
      <c r="J7" s="157" t="s">
        <v>222</v>
      </c>
    </row>
    <row r="8" spans="2:10">
      <c r="B8" s="168"/>
      <c r="C8" s="168"/>
      <c r="D8" s="168"/>
      <c r="E8" s="168"/>
      <c r="F8" s="168"/>
      <c r="G8" s="121"/>
      <c r="H8" s="121"/>
      <c r="I8" s="122"/>
      <c r="J8" s="87"/>
    </row>
    <row r="9" spans="2:10">
      <c r="B9" s="168"/>
      <c r="C9" s="168"/>
      <c r="D9" s="168"/>
      <c r="E9" s="168"/>
      <c r="F9" s="168"/>
      <c r="G9" s="121"/>
      <c r="H9" s="121"/>
      <c r="I9" s="122"/>
      <c r="J9" s="87"/>
    </row>
    <row r="10" spans="2:10">
      <c r="B10" s="168"/>
      <c r="C10" s="168"/>
      <c r="D10" s="168"/>
      <c r="E10" s="168"/>
      <c r="F10" s="168"/>
      <c r="G10" s="121"/>
      <c r="H10" s="121"/>
      <c r="I10" s="122"/>
      <c r="J10" s="87"/>
    </row>
    <row r="11" spans="2:10">
      <c r="B11" s="168"/>
      <c r="C11" s="168"/>
      <c r="D11" s="168"/>
      <c r="E11" s="168"/>
      <c r="F11" s="168"/>
      <c r="G11" s="121"/>
      <c r="H11" s="121"/>
      <c r="I11" s="122"/>
      <c r="J11" s="87"/>
    </row>
    <row r="12" spans="2:10">
      <c r="B12" s="168"/>
      <c r="C12" s="168"/>
      <c r="D12" s="168"/>
      <c r="E12" s="168"/>
      <c r="F12" s="168"/>
      <c r="G12" s="121"/>
      <c r="H12" s="121"/>
      <c r="I12" s="122"/>
      <c r="J12" s="87"/>
    </row>
    <row r="13" spans="2:10">
      <c r="B13" s="168"/>
      <c r="C13" s="168"/>
      <c r="D13" s="168"/>
      <c r="E13" s="168"/>
      <c r="F13" s="168"/>
      <c r="G13" s="121"/>
      <c r="H13" s="121"/>
      <c r="I13" s="122"/>
      <c r="J13" s="87"/>
    </row>
    <row r="14" spans="2:10">
      <c r="B14" s="168"/>
      <c r="C14" s="168"/>
      <c r="D14" s="168"/>
      <c r="E14" s="168"/>
      <c r="F14" s="168"/>
      <c r="G14" s="121"/>
      <c r="H14" s="121"/>
      <c r="I14" s="122"/>
      <c r="J14" s="87"/>
    </row>
    <row r="15" spans="2:10">
      <c r="B15" s="168"/>
      <c r="C15" s="168"/>
      <c r="D15" s="168"/>
      <c r="E15" s="168"/>
      <c r="F15" s="168"/>
      <c r="G15" s="121"/>
      <c r="H15" s="121"/>
      <c r="I15" s="122"/>
      <c r="J15" s="87"/>
    </row>
    <row r="16" spans="2:10">
      <c r="B16" s="168"/>
      <c r="C16" s="168"/>
      <c r="D16" s="168"/>
      <c r="E16" s="168"/>
      <c r="F16" s="168"/>
      <c r="G16" s="121"/>
      <c r="H16" s="121"/>
      <c r="I16" s="122"/>
      <c r="J16" s="87"/>
    </row>
    <row r="17" spans="2:10">
      <c r="B17" s="168"/>
      <c r="C17" s="168"/>
      <c r="D17" s="168"/>
      <c r="E17" s="168"/>
      <c r="F17" s="168"/>
      <c r="G17" s="121"/>
      <c r="H17" s="121"/>
      <c r="I17" s="122"/>
      <c r="J17" s="87"/>
    </row>
    <row r="18" spans="2:10">
      <c r="B18" s="168"/>
      <c r="C18" s="168"/>
      <c r="D18" s="168"/>
      <c r="E18" s="168"/>
      <c r="F18" s="168"/>
      <c r="G18" s="121"/>
      <c r="H18" s="121"/>
      <c r="I18" s="122"/>
      <c r="J18" s="87"/>
    </row>
    <row r="19" spans="2:10">
      <c r="B19" s="168"/>
      <c r="C19" s="168"/>
      <c r="D19" s="168"/>
      <c r="E19" s="168"/>
      <c r="F19" s="168"/>
      <c r="G19" s="121"/>
      <c r="H19" s="121"/>
      <c r="I19" s="122"/>
      <c r="J19" s="87"/>
    </row>
    <row r="20" spans="2:10">
      <c r="B20" s="168"/>
      <c r="C20" s="168"/>
      <c r="D20" s="168"/>
      <c r="E20" s="168"/>
      <c r="F20" s="168"/>
      <c r="G20" s="121"/>
      <c r="H20" s="121"/>
      <c r="I20" s="122"/>
      <c r="J20" s="87"/>
    </row>
    <row r="21" spans="2:10">
      <c r="B21" s="168"/>
      <c r="C21" s="168"/>
      <c r="D21" s="168"/>
      <c r="E21" s="168"/>
      <c r="F21" s="168"/>
      <c r="G21" s="121"/>
      <c r="H21" s="121"/>
      <c r="I21" s="122"/>
      <c r="J21" s="87"/>
    </row>
    <row r="22" spans="2:10">
      <c r="B22" s="168"/>
      <c r="C22" s="168"/>
      <c r="D22" s="168"/>
      <c r="E22" s="168"/>
      <c r="F22" s="168"/>
      <c r="G22" s="121"/>
      <c r="H22" s="121"/>
      <c r="I22" s="122"/>
      <c r="J22" s="87"/>
    </row>
    <row r="23" spans="2:10">
      <c r="B23" s="168"/>
      <c r="C23" s="168"/>
      <c r="D23" s="168"/>
      <c r="E23" s="168"/>
      <c r="F23" s="168"/>
      <c r="G23" s="121"/>
      <c r="H23" s="121"/>
      <c r="I23" s="122"/>
      <c r="J23" s="87"/>
    </row>
    <row r="24" spans="2:10">
      <c r="B24" s="168"/>
      <c r="C24" s="168"/>
      <c r="D24" s="168"/>
      <c r="E24" s="168"/>
      <c r="F24" s="168"/>
      <c r="G24" s="121"/>
      <c r="H24" s="121"/>
      <c r="I24" s="122"/>
      <c r="J24" s="87"/>
    </row>
    <row r="25" spans="2:10">
      <c r="B25" s="168"/>
      <c r="C25" s="168"/>
      <c r="D25" s="168"/>
      <c r="E25" s="168"/>
      <c r="F25" s="168"/>
      <c r="G25" s="121"/>
      <c r="H25" s="121"/>
      <c r="I25" s="122"/>
      <c r="J25" s="87"/>
    </row>
    <row r="26" spans="2:10">
      <c r="B26" s="168"/>
      <c r="C26" s="168"/>
      <c r="D26" s="168"/>
      <c r="E26" s="168"/>
      <c r="F26" s="168"/>
      <c r="G26" s="121"/>
      <c r="H26" s="121"/>
      <c r="I26" s="122"/>
      <c r="J26" s="87"/>
    </row>
    <row r="27" spans="2:10">
      <c r="B27" s="168"/>
      <c r="C27" s="168"/>
      <c r="D27" s="168"/>
      <c r="E27" s="168"/>
      <c r="F27" s="168"/>
      <c r="G27" s="121"/>
      <c r="H27" s="121"/>
      <c r="I27" s="122"/>
      <c r="J27" s="87"/>
    </row>
    <row r="28" spans="2:10">
      <c r="B28" s="168"/>
      <c r="C28" s="168"/>
      <c r="D28" s="168"/>
      <c r="E28" s="168"/>
      <c r="F28" s="168"/>
      <c r="G28" s="121"/>
      <c r="H28" s="121"/>
      <c r="I28" s="122"/>
      <c r="J28" s="87"/>
    </row>
    <row r="29" spans="2:10">
      <c r="B29" s="168"/>
      <c r="C29" s="168"/>
      <c r="D29" s="168"/>
      <c r="E29" s="168"/>
      <c r="F29" s="168"/>
      <c r="G29" s="121"/>
      <c r="H29" s="121"/>
      <c r="I29" s="122"/>
      <c r="J29" s="87"/>
    </row>
    <row r="30" spans="2:10">
      <c r="B30" s="168"/>
      <c r="C30" s="168"/>
      <c r="D30" s="168"/>
      <c r="E30" s="168"/>
      <c r="F30" s="168"/>
      <c r="G30" s="121"/>
      <c r="H30" s="121"/>
      <c r="I30" s="122"/>
      <c r="J30" s="87"/>
    </row>
    <row r="31" spans="2:10">
      <c r="B31" s="168"/>
      <c r="C31" s="168"/>
      <c r="D31" s="168"/>
      <c r="E31" s="168"/>
      <c r="F31" s="168"/>
      <c r="G31" s="121"/>
      <c r="H31" s="121"/>
      <c r="I31" s="122"/>
      <c r="J31" s="87"/>
    </row>
    <row r="32" spans="2:10">
      <c r="B32" s="168"/>
      <c r="C32" s="168"/>
      <c r="D32" s="168"/>
      <c r="E32" s="168"/>
      <c r="F32" s="168"/>
      <c r="G32" s="121"/>
      <c r="H32" s="121"/>
      <c r="I32" s="122"/>
      <c r="J32" s="87"/>
    </row>
    <row r="33"/>
  </sheetData>
  <mergeCells count="5">
    <mergeCell ref="C2:D2"/>
    <mergeCell ref="C3:D3"/>
    <mergeCell ref="C4:D4"/>
    <mergeCell ref="C5:D5"/>
    <mergeCell ref="B6:J6"/>
  </mergeCells>
  <pageMargins left="0.7" right="0.7" top="0.75" bottom="0.75" header="0.3" footer="0.3"/>
  <pageSetup paperSize="9" scale="95" fitToHeight="0"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K32"/>
  <sheetViews>
    <sheetView showGridLines="0" workbookViewId="0">
      <selection activeCell="B8" sqref="B8:J31"/>
    </sheetView>
  </sheetViews>
  <sheetFormatPr defaultColWidth="0" defaultRowHeight="13.8" zeroHeight="1"/>
  <cols>
    <col min="1" max="1" width="1.6640625" style="89" customWidth="1"/>
    <col min="2" max="2" width="20.6640625" style="89" customWidth="1"/>
    <col min="3" max="3" width="18.109375" style="89" customWidth="1"/>
    <col min="4" max="4" width="11.33203125" style="89" customWidth="1"/>
    <col min="5" max="5" width="10" style="89" customWidth="1"/>
    <col min="6" max="7" width="20.6640625" style="89" customWidth="1"/>
    <col min="8" max="8" width="9.6640625" style="89" bestFit="1" customWidth="1"/>
    <col min="9" max="10" width="12.44140625" style="89" customWidth="1"/>
    <col min="11" max="11" width="1.6640625" style="89" customWidth="1"/>
    <col min="12" max="16384" width="9.109375" style="89" hidden="1"/>
  </cols>
  <sheetData>
    <row r="1" spans="2:10"/>
    <row r="2" spans="2:10">
      <c r="B2" s="158" t="s">
        <v>184</v>
      </c>
      <c r="C2" s="419">
        <f>HOME!C6</f>
        <v>0</v>
      </c>
      <c r="D2" s="419"/>
      <c r="E2" s="419"/>
      <c r="F2" s="155"/>
      <c r="G2" s="155"/>
      <c r="H2" s="155"/>
      <c r="I2" s="155"/>
      <c r="J2" s="155"/>
    </row>
    <row r="3" spans="2:10">
      <c r="B3" s="158" t="s">
        <v>185</v>
      </c>
      <c r="C3" s="419">
        <f>HOME!C7</f>
        <v>0</v>
      </c>
      <c r="D3" s="419"/>
      <c r="E3" s="419"/>
      <c r="F3" s="155"/>
      <c r="G3" s="155"/>
      <c r="H3" s="155"/>
      <c r="I3" s="155"/>
      <c r="J3" s="155"/>
    </row>
    <row r="4" spans="2:10">
      <c r="B4" s="158" t="s">
        <v>186</v>
      </c>
      <c r="C4" s="419">
        <f>HOME!C5</f>
        <v>0</v>
      </c>
      <c r="D4" s="419"/>
      <c r="E4" s="419"/>
      <c r="F4" s="155"/>
      <c r="G4" s="155"/>
      <c r="H4" s="155"/>
      <c r="I4" s="155"/>
      <c r="J4" s="155"/>
    </row>
    <row r="5" spans="2:10">
      <c r="B5" s="159" t="s">
        <v>187</v>
      </c>
      <c r="C5" s="421">
        <f>HOME!C10</f>
        <v>0</v>
      </c>
      <c r="D5" s="421"/>
      <c r="E5" s="421"/>
      <c r="F5" s="155"/>
      <c r="G5" s="155"/>
      <c r="H5" s="155"/>
      <c r="I5" s="155"/>
      <c r="J5" s="155"/>
    </row>
    <row r="6" spans="2:10" ht="23.4">
      <c r="B6" s="420" t="s">
        <v>223</v>
      </c>
      <c r="C6" s="420"/>
      <c r="D6" s="420"/>
      <c r="E6" s="420"/>
      <c r="F6" s="420"/>
      <c r="G6" s="420"/>
      <c r="H6" s="420"/>
      <c r="I6" s="420"/>
      <c r="J6" s="420"/>
    </row>
    <row r="7" spans="2:10" ht="36">
      <c r="B7" s="157" t="s">
        <v>201</v>
      </c>
      <c r="C7" s="157" t="s">
        <v>217</v>
      </c>
      <c r="D7" s="157" t="s">
        <v>224</v>
      </c>
      <c r="E7" s="157" t="s">
        <v>225</v>
      </c>
      <c r="F7" s="157" t="s">
        <v>226</v>
      </c>
      <c r="G7" s="157" t="s">
        <v>227</v>
      </c>
      <c r="H7" s="157" t="s">
        <v>207</v>
      </c>
      <c r="I7" s="157" t="s">
        <v>228</v>
      </c>
      <c r="J7" s="157" t="s">
        <v>222</v>
      </c>
    </row>
    <row r="8" spans="2:10" ht="14.4">
      <c r="B8" s="169"/>
      <c r="C8" s="169"/>
      <c r="D8" s="169"/>
      <c r="E8" s="169"/>
      <c r="F8" s="169"/>
      <c r="G8" s="169"/>
      <c r="H8" s="170"/>
      <c r="I8" s="86"/>
      <c r="J8" s="86"/>
    </row>
    <row r="9" spans="2:10" ht="14.4">
      <c r="B9" s="168"/>
      <c r="C9" s="168"/>
      <c r="D9" s="168"/>
      <c r="E9" s="168"/>
      <c r="F9" s="168"/>
      <c r="G9" s="168"/>
      <c r="H9" s="171"/>
      <c r="I9" s="87"/>
      <c r="J9" s="87"/>
    </row>
    <row r="10" spans="2:10" ht="14.4">
      <c r="B10" s="168"/>
      <c r="C10" s="168"/>
      <c r="D10" s="168"/>
      <c r="E10" s="168"/>
      <c r="F10" s="168"/>
      <c r="G10" s="168"/>
      <c r="H10" s="171"/>
      <c r="I10" s="87"/>
      <c r="J10" s="87"/>
    </row>
    <row r="11" spans="2:10" ht="14.4">
      <c r="B11" s="168"/>
      <c r="C11" s="168"/>
      <c r="D11" s="168"/>
      <c r="E11" s="168"/>
      <c r="F11" s="168"/>
      <c r="G11" s="168"/>
      <c r="H11" s="171"/>
      <c r="I11" s="87"/>
      <c r="J11" s="87"/>
    </row>
    <row r="12" spans="2:10" ht="14.4">
      <c r="B12" s="168"/>
      <c r="C12" s="168"/>
      <c r="D12" s="168"/>
      <c r="E12" s="168"/>
      <c r="F12" s="168"/>
      <c r="G12" s="168"/>
      <c r="H12" s="171"/>
      <c r="I12" s="87"/>
      <c r="J12" s="87"/>
    </row>
    <row r="13" spans="2:10" ht="14.4">
      <c r="B13" s="168"/>
      <c r="C13" s="168"/>
      <c r="D13" s="168"/>
      <c r="E13" s="168"/>
      <c r="F13" s="168"/>
      <c r="G13" s="168"/>
      <c r="H13" s="171"/>
      <c r="I13" s="87"/>
      <c r="J13" s="87"/>
    </row>
    <row r="14" spans="2:10" ht="14.4">
      <c r="B14" s="168"/>
      <c r="C14" s="168"/>
      <c r="D14" s="168"/>
      <c r="E14" s="168"/>
      <c r="F14" s="168"/>
      <c r="G14" s="168"/>
      <c r="H14" s="171"/>
      <c r="I14" s="87"/>
      <c r="J14" s="87"/>
    </row>
    <row r="15" spans="2:10" ht="14.4">
      <c r="B15" s="168"/>
      <c r="C15" s="168"/>
      <c r="D15" s="168"/>
      <c r="E15" s="168"/>
      <c r="F15" s="168"/>
      <c r="G15" s="168"/>
      <c r="H15" s="171"/>
      <c r="I15" s="87"/>
      <c r="J15" s="87"/>
    </row>
    <row r="16" spans="2:10" ht="14.4">
      <c r="B16" s="168"/>
      <c r="C16" s="168"/>
      <c r="D16" s="168"/>
      <c r="E16" s="168"/>
      <c r="F16" s="168"/>
      <c r="G16" s="168"/>
      <c r="H16" s="171"/>
      <c r="I16" s="87"/>
      <c r="J16" s="87"/>
    </row>
    <row r="17" spans="2:10" ht="14.4">
      <c r="B17" s="168"/>
      <c r="C17" s="168"/>
      <c r="D17" s="168"/>
      <c r="E17" s="168"/>
      <c r="F17" s="168"/>
      <c r="G17" s="168"/>
      <c r="H17" s="171"/>
      <c r="I17" s="87"/>
      <c r="J17" s="87"/>
    </row>
    <row r="18" spans="2:10" ht="14.4">
      <c r="B18" s="168"/>
      <c r="C18" s="168"/>
      <c r="D18" s="168"/>
      <c r="E18" s="168"/>
      <c r="F18" s="168"/>
      <c r="G18" s="168"/>
      <c r="H18" s="171"/>
      <c r="I18" s="87"/>
      <c r="J18" s="87"/>
    </row>
    <row r="19" spans="2:10" ht="14.4">
      <c r="B19" s="168"/>
      <c r="C19" s="168"/>
      <c r="D19" s="168"/>
      <c r="E19" s="168"/>
      <c r="F19" s="168"/>
      <c r="G19" s="168"/>
      <c r="H19" s="171"/>
      <c r="I19" s="87"/>
      <c r="J19" s="87"/>
    </row>
    <row r="20" spans="2:10" ht="14.4">
      <c r="B20" s="168"/>
      <c r="C20" s="168"/>
      <c r="D20" s="168"/>
      <c r="E20" s="168"/>
      <c r="F20" s="168"/>
      <c r="G20" s="168"/>
      <c r="H20" s="171"/>
      <c r="I20" s="87"/>
      <c r="J20" s="87"/>
    </row>
    <row r="21" spans="2:10" ht="14.4">
      <c r="B21" s="168"/>
      <c r="C21" s="168"/>
      <c r="D21" s="168"/>
      <c r="E21" s="168"/>
      <c r="F21" s="168"/>
      <c r="G21" s="168"/>
      <c r="H21" s="171"/>
      <c r="I21" s="87"/>
      <c r="J21" s="87"/>
    </row>
    <row r="22" spans="2:10" ht="14.4">
      <c r="B22" s="168"/>
      <c r="C22" s="168"/>
      <c r="D22" s="168"/>
      <c r="E22" s="168"/>
      <c r="F22" s="168"/>
      <c r="G22" s="168"/>
      <c r="H22" s="171"/>
      <c r="I22" s="87"/>
      <c r="J22" s="87"/>
    </row>
    <row r="23" spans="2:10" ht="14.4">
      <c r="B23" s="168"/>
      <c r="C23" s="168"/>
      <c r="D23" s="168"/>
      <c r="E23" s="168"/>
      <c r="F23" s="168"/>
      <c r="G23" s="168"/>
      <c r="H23" s="171"/>
      <c r="I23" s="87"/>
      <c r="J23" s="87"/>
    </row>
    <row r="24" spans="2:10" ht="14.4">
      <c r="B24" s="168"/>
      <c r="C24" s="168"/>
      <c r="D24" s="168"/>
      <c r="E24" s="168"/>
      <c r="F24" s="168"/>
      <c r="G24" s="168"/>
      <c r="H24" s="171"/>
      <c r="I24" s="87"/>
      <c r="J24" s="87"/>
    </row>
    <row r="25" spans="2:10" ht="14.4">
      <c r="B25" s="168"/>
      <c r="C25" s="168"/>
      <c r="D25" s="168"/>
      <c r="E25" s="168"/>
      <c r="F25" s="168"/>
      <c r="G25" s="168"/>
      <c r="H25" s="171"/>
      <c r="I25" s="87"/>
      <c r="J25" s="87"/>
    </row>
    <row r="26" spans="2:10" ht="14.4">
      <c r="B26" s="168"/>
      <c r="C26" s="168"/>
      <c r="D26" s="168"/>
      <c r="E26" s="168"/>
      <c r="F26" s="168"/>
      <c r="G26" s="168"/>
      <c r="H26" s="171"/>
      <c r="I26" s="87"/>
      <c r="J26" s="87"/>
    </row>
    <row r="27" spans="2:10" ht="14.4">
      <c r="B27" s="168"/>
      <c r="C27" s="168"/>
      <c r="D27" s="168"/>
      <c r="E27" s="168"/>
      <c r="F27" s="168"/>
      <c r="G27" s="168"/>
      <c r="H27" s="171"/>
      <c r="I27" s="87"/>
      <c r="J27" s="87"/>
    </row>
    <row r="28" spans="2:10" ht="14.4">
      <c r="B28" s="168"/>
      <c r="C28" s="168"/>
      <c r="D28" s="168"/>
      <c r="E28" s="168"/>
      <c r="F28" s="168"/>
      <c r="G28" s="168"/>
      <c r="H28" s="171"/>
      <c r="I28" s="87"/>
      <c r="J28" s="87"/>
    </row>
    <row r="29" spans="2:10" ht="14.4">
      <c r="B29" s="168"/>
      <c r="C29" s="168"/>
      <c r="D29" s="168"/>
      <c r="E29" s="168"/>
      <c r="F29" s="168"/>
      <c r="G29" s="168"/>
      <c r="H29" s="171"/>
      <c r="I29" s="87"/>
      <c r="J29" s="87"/>
    </row>
    <row r="30" spans="2:10" ht="14.4">
      <c r="B30" s="168"/>
      <c r="C30" s="168"/>
      <c r="D30" s="168"/>
      <c r="E30" s="168"/>
      <c r="F30" s="168"/>
      <c r="G30" s="168"/>
      <c r="H30" s="171"/>
      <c r="I30" s="88"/>
      <c r="J30" s="88"/>
    </row>
    <row r="31" spans="2:10" ht="14.4">
      <c r="B31" s="168"/>
      <c r="C31" s="168"/>
      <c r="D31" s="168"/>
      <c r="E31" s="168"/>
      <c r="F31" s="168"/>
      <c r="G31" s="168"/>
      <c r="H31" s="171"/>
      <c r="I31" s="87"/>
      <c r="J31" s="87"/>
    </row>
    <row r="32" spans="2:10"/>
  </sheetData>
  <mergeCells count="5">
    <mergeCell ref="C5:E5"/>
    <mergeCell ref="C4:E4"/>
    <mergeCell ref="C3:E3"/>
    <mergeCell ref="C2:E2"/>
    <mergeCell ref="B6:J6"/>
  </mergeCells>
  <pageMargins left="0" right="0" top="0.74803149606299213" bottom="0.74803149606299213" header="0.31496062992125984" footer="0.31496062992125984"/>
  <pageSetup paperSize="9" fitToHeight="0"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I43"/>
  <sheetViews>
    <sheetView showGridLines="0" workbookViewId="0">
      <selection activeCell="D19" sqref="D19:H19"/>
    </sheetView>
  </sheetViews>
  <sheetFormatPr defaultColWidth="0" defaultRowHeight="19.95" customHeight="1" zeroHeight="1"/>
  <cols>
    <col min="1" max="1" width="1.6640625" style="72" customWidth="1"/>
    <col min="2" max="8" width="15.6640625" style="72" customWidth="1"/>
    <col min="9" max="9" width="1.6640625" style="72" customWidth="1"/>
    <col min="10" max="16384" width="9.109375" style="72" hidden="1"/>
  </cols>
  <sheetData>
    <row r="1" spans="2:8" ht="19.95" customHeight="1"/>
    <row r="2" spans="2:8" ht="19.95" customHeight="1"/>
    <row r="3" spans="2:8" ht="19.95" customHeight="1"/>
    <row r="4" spans="2:8" ht="23.4">
      <c r="B4" s="276" t="s">
        <v>229</v>
      </c>
      <c r="C4" s="276"/>
      <c r="D4" s="276"/>
      <c r="E4" s="276"/>
      <c r="F4" s="276"/>
      <c r="G4" s="276"/>
      <c r="H4" s="276"/>
    </row>
    <row r="5" spans="2:8" ht="19.95" customHeight="1"/>
    <row r="6" spans="2:8" ht="19.95" customHeight="1">
      <c r="B6" s="424" t="s">
        <v>68</v>
      </c>
      <c r="C6" s="425"/>
      <c r="D6" s="425"/>
      <c r="E6" s="426">
        <f>HOME!C5</f>
        <v>0</v>
      </c>
      <c r="F6" s="426"/>
      <c r="G6" s="426"/>
      <c r="H6" s="426"/>
    </row>
    <row r="7" spans="2:8" ht="19.95" customHeight="1">
      <c r="B7" s="424" t="s">
        <v>2</v>
      </c>
      <c r="C7" s="425"/>
      <c r="D7" s="425"/>
      <c r="E7" s="426">
        <f>HOME!C6</f>
        <v>0</v>
      </c>
      <c r="F7" s="426"/>
      <c r="G7" s="426"/>
      <c r="H7" s="426"/>
    </row>
    <row r="8" spans="2:8" ht="19.95" customHeight="1">
      <c r="B8" s="424" t="s">
        <v>4</v>
      </c>
      <c r="C8" s="425"/>
      <c r="D8" s="425"/>
      <c r="E8" s="426">
        <f>HOME!C7</f>
        <v>0</v>
      </c>
      <c r="F8" s="426"/>
      <c r="G8" s="426"/>
      <c r="H8" s="426"/>
    </row>
    <row r="9" spans="2:8" ht="19.95" customHeight="1">
      <c r="B9" s="424" t="s">
        <v>6</v>
      </c>
      <c r="C9" s="425"/>
      <c r="D9" s="425"/>
      <c r="E9" s="426">
        <f>HOME!C8</f>
        <v>0</v>
      </c>
      <c r="F9" s="426"/>
      <c r="G9" s="426"/>
      <c r="H9" s="426"/>
    </row>
    <row r="10" spans="2:8" ht="19.95" customHeight="1">
      <c r="B10" s="424" t="s">
        <v>69</v>
      </c>
      <c r="C10" s="425"/>
      <c r="D10" s="425"/>
      <c r="E10" s="426">
        <f>HOME!C10</f>
        <v>0</v>
      </c>
      <c r="F10" s="426"/>
      <c r="G10" s="426"/>
      <c r="H10" s="426"/>
    </row>
    <row r="11" spans="2:8" ht="19.95" customHeight="1">
      <c r="B11" s="424" t="s">
        <v>70</v>
      </c>
      <c r="C11" s="425"/>
      <c r="D11" s="425"/>
      <c r="E11" s="426">
        <f>HOME!C12</f>
        <v>0</v>
      </c>
      <c r="F11" s="426"/>
      <c r="G11" s="426"/>
      <c r="H11" s="426"/>
    </row>
    <row r="12" spans="2:8" ht="19.95" customHeight="1">
      <c r="B12" s="424" t="s">
        <v>64</v>
      </c>
      <c r="C12" s="425"/>
      <c r="D12" s="425"/>
      <c r="E12" s="427"/>
      <c r="F12" s="427"/>
      <c r="G12" s="427"/>
      <c r="H12" s="427"/>
    </row>
    <row r="13" spans="2:8" ht="19.95" customHeight="1">
      <c r="B13" s="75"/>
      <c r="C13" s="75"/>
      <c r="D13" s="75"/>
      <c r="E13" s="75"/>
    </row>
    <row r="14" spans="2:8" ht="19.95" customHeight="1">
      <c r="B14" s="193" t="s">
        <v>230</v>
      </c>
      <c r="C14" s="193"/>
      <c r="D14" s="435"/>
      <c r="E14" s="435"/>
    </row>
    <row r="15" spans="2:8" ht="19.95" customHeight="1"/>
    <row r="16" spans="2:8" ht="19.95" customHeight="1">
      <c r="B16" s="193" t="s">
        <v>231</v>
      </c>
      <c r="C16" s="193"/>
      <c r="D16" s="193"/>
      <c r="E16" s="193"/>
      <c r="F16" s="193"/>
      <c r="G16" s="193"/>
      <c r="H16" s="193"/>
    </row>
    <row r="17" spans="2:8" ht="19.95" customHeight="1">
      <c r="B17" s="280" t="s">
        <v>232</v>
      </c>
      <c r="C17" s="280"/>
      <c r="D17" s="426"/>
      <c r="E17" s="426"/>
      <c r="F17" s="426"/>
      <c r="G17" s="426"/>
      <c r="H17" s="426"/>
    </row>
    <row r="18" spans="2:8" ht="19.95" customHeight="1">
      <c r="B18" s="193" t="s">
        <v>233</v>
      </c>
      <c r="C18" s="193"/>
      <c r="D18" s="426"/>
      <c r="E18" s="426"/>
      <c r="F18" s="426"/>
      <c r="G18" s="426"/>
      <c r="H18" s="426"/>
    </row>
    <row r="19" spans="2:8" ht="19.95" customHeight="1">
      <c r="B19" s="193" t="s">
        <v>234</v>
      </c>
      <c r="C19" s="193"/>
      <c r="D19" s="426"/>
      <c r="E19" s="426"/>
      <c r="F19" s="426"/>
      <c r="G19" s="426"/>
      <c r="H19" s="426"/>
    </row>
    <row r="20" spans="2:8" ht="19.95" customHeight="1"/>
    <row r="21" spans="2:8" ht="19.95" customHeight="1">
      <c r="B21" s="193" t="s">
        <v>235</v>
      </c>
      <c r="C21" s="193"/>
      <c r="D21" s="422" t="s">
        <v>236</v>
      </c>
      <c r="E21" s="423"/>
    </row>
    <row r="22" spans="2:8" ht="19.95" customHeight="1">
      <c r="B22" s="193" t="s">
        <v>237</v>
      </c>
      <c r="C22" s="193"/>
      <c r="D22" s="422" t="s">
        <v>236</v>
      </c>
      <c r="E22" s="423"/>
    </row>
    <row r="23" spans="2:8" ht="19.95" customHeight="1"/>
    <row r="24" spans="2:8" ht="23.4">
      <c r="B24" s="276" t="s">
        <v>238</v>
      </c>
      <c r="C24" s="276"/>
      <c r="D24" s="276"/>
      <c r="E24" s="276"/>
      <c r="F24" s="276"/>
      <c r="G24" s="276"/>
      <c r="H24" s="276"/>
    </row>
    <row r="25" spans="2:8" ht="19.95" customHeight="1"/>
    <row r="26" spans="2:8" ht="19.95" customHeight="1">
      <c r="B26" s="429" t="s">
        <v>239</v>
      </c>
      <c r="C26" s="429"/>
      <c r="D26" s="430" t="s">
        <v>236</v>
      </c>
      <c r="E26" s="430"/>
    </row>
    <row r="27" spans="2:8" ht="19.95" customHeight="1">
      <c r="B27" s="173" t="s">
        <v>240</v>
      </c>
      <c r="C27" s="172" t="s">
        <v>236</v>
      </c>
      <c r="D27" s="173" t="s">
        <v>241</v>
      </c>
      <c r="E27" s="172" t="s">
        <v>236</v>
      </c>
      <c r="F27" s="173" t="s">
        <v>242</v>
      </c>
      <c r="G27" s="172" t="s">
        <v>236</v>
      </c>
    </row>
    <row r="28" spans="2:8" ht="19.95" customHeight="1">
      <c r="B28" s="173" t="s">
        <v>243</v>
      </c>
      <c r="C28" s="172" t="s">
        <v>236</v>
      </c>
      <c r="D28" s="173" t="s">
        <v>244</v>
      </c>
      <c r="E28" s="172" t="s">
        <v>236</v>
      </c>
      <c r="F28" s="173" t="s">
        <v>245</v>
      </c>
      <c r="G28" s="172" t="s">
        <v>236</v>
      </c>
    </row>
    <row r="29" spans="2:8" ht="19.95" customHeight="1"/>
    <row r="30" spans="2:8" ht="19.95" customHeight="1">
      <c r="B30" s="193" t="s">
        <v>246</v>
      </c>
      <c r="C30" s="193"/>
      <c r="D30" s="426"/>
      <c r="E30" s="426"/>
      <c r="F30" s="426"/>
      <c r="G30" s="426"/>
      <c r="H30" s="426"/>
    </row>
    <row r="31" spans="2:8" ht="19.95" customHeight="1">
      <c r="B31" s="193"/>
      <c r="C31" s="193"/>
      <c r="D31" s="426"/>
      <c r="E31" s="426"/>
      <c r="F31" s="426"/>
      <c r="G31" s="426"/>
      <c r="H31" s="426"/>
    </row>
    <row r="32" spans="2:8" ht="19.95" customHeight="1">
      <c r="B32" s="193" t="s">
        <v>247</v>
      </c>
      <c r="C32" s="193"/>
      <c r="D32" s="428"/>
      <c r="E32" s="428"/>
      <c r="F32" s="428"/>
      <c r="G32" s="428"/>
      <c r="H32" s="428"/>
    </row>
    <row r="33" spans="2:8" ht="19.95" customHeight="1">
      <c r="B33" s="193"/>
      <c r="C33" s="193"/>
      <c r="D33" s="428"/>
      <c r="E33" s="428"/>
      <c r="F33" s="428"/>
      <c r="G33" s="428"/>
      <c r="H33" s="428"/>
    </row>
    <row r="34" spans="2:8" ht="19.95" customHeight="1">
      <c r="B34" s="160"/>
      <c r="C34" s="160"/>
      <c r="D34" s="160"/>
      <c r="E34" s="160"/>
      <c r="F34" s="160"/>
      <c r="G34" s="160"/>
      <c r="H34" s="160"/>
    </row>
    <row r="35" spans="2:8" ht="19.95" customHeight="1">
      <c r="B35" s="193" t="s">
        <v>248</v>
      </c>
      <c r="C35" s="193"/>
      <c r="D35" s="173" t="s">
        <v>249</v>
      </c>
      <c r="E35" s="188"/>
      <c r="F35" s="173" t="s">
        <v>250</v>
      </c>
      <c r="G35" s="188"/>
      <c r="H35" s="160"/>
    </row>
    <row r="36" spans="2:8" ht="19.95" customHeight="1">
      <c r="B36" s="193" t="s">
        <v>251</v>
      </c>
      <c r="C36" s="193"/>
      <c r="D36" s="173" t="s">
        <v>249</v>
      </c>
      <c r="E36" s="188"/>
      <c r="F36" s="173" t="s">
        <v>250</v>
      </c>
      <c r="G36" s="188"/>
      <c r="H36" s="160"/>
    </row>
    <row r="37" spans="2:8" ht="19.95" customHeight="1"/>
    <row r="38" spans="2:8" ht="19.95" customHeight="1">
      <c r="E38" s="193" t="s">
        <v>252</v>
      </c>
      <c r="F38" s="193"/>
      <c r="G38" s="193"/>
      <c r="H38" s="193"/>
    </row>
    <row r="39" spans="2:8" ht="19.95" customHeight="1">
      <c r="B39" s="431" t="s">
        <v>253</v>
      </c>
      <c r="C39" s="432"/>
      <c r="D39" s="426" t="s">
        <v>236</v>
      </c>
      <c r="E39" s="426"/>
      <c r="F39" s="426"/>
      <c r="G39" s="426"/>
      <c r="H39" s="426"/>
    </row>
    <row r="40" spans="2:8" ht="19.95" customHeight="1">
      <c r="B40" s="433"/>
      <c r="C40" s="434"/>
      <c r="D40" s="426"/>
      <c r="E40" s="426"/>
      <c r="F40" s="426"/>
      <c r="G40" s="426"/>
      <c r="H40" s="426"/>
    </row>
    <row r="41" spans="2:8" ht="19.95" customHeight="1">
      <c r="B41" s="431" t="s">
        <v>254</v>
      </c>
      <c r="C41" s="432"/>
      <c r="D41" s="426" t="s">
        <v>236</v>
      </c>
      <c r="E41" s="426"/>
      <c r="F41" s="426"/>
      <c r="G41" s="426"/>
      <c r="H41" s="426"/>
    </row>
    <row r="42" spans="2:8" ht="19.95" customHeight="1">
      <c r="B42" s="433"/>
      <c r="C42" s="434"/>
      <c r="D42" s="426"/>
      <c r="E42" s="426"/>
      <c r="F42" s="426"/>
      <c r="G42" s="426"/>
      <c r="H42" s="426"/>
    </row>
    <row r="43" spans="2:8" ht="19.95" customHeight="1"/>
  </sheetData>
  <mergeCells count="44">
    <mergeCell ref="B10:D10"/>
    <mergeCell ref="B11:D11"/>
    <mergeCell ref="B12:D12"/>
    <mergeCell ref="D14:E14"/>
    <mergeCell ref="B17:C17"/>
    <mergeCell ref="B16:H16"/>
    <mergeCell ref="D17:H17"/>
    <mergeCell ref="D18:H18"/>
    <mergeCell ref="D19:H19"/>
    <mergeCell ref="B21:C21"/>
    <mergeCell ref="B18:C18"/>
    <mergeCell ref="B19:C19"/>
    <mergeCell ref="E38:H38"/>
    <mergeCell ref="E39:H40"/>
    <mergeCell ref="E41:H42"/>
    <mergeCell ref="B24:H24"/>
    <mergeCell ref="D30:H31"/>
    <mergeCell ref="D32:H33"/>
    <mergeCell ref="B26:C26"/>
    <mergeCell ref="D26:E26"/>
    <mergeCell ref="D41:D42"/>
    <mergeCell ref="D39:D40"/>
    <mergeCell ref="B41:C42"/>
    <mergeCell ref="B35:C35"/>
    <mergeCell ref="B36:C36"/>
    <mergeCell ref="B39:C40"/>
    <mergeCell ref="B30:C31"/>
    <mergeCell ref="B32:C33"/>
    <mergeCell ref="B22:C22"/>
    <mergeCell ref="D21:E21"/>
    <mergeCell ref="D22:E22"/>
    <mergeCell ref="B14:C14"/>
    <mergeCell ref="B4:H4"/>
    <mergeCell ref="B6:D6"/>
    <mergeCell ref="B7:D7"/>
    <mergeCell ref="B8:D8"/>
    <mergeCell ref="B9:D9"/>
    <mergeCell ref="E6:H6"/>
    <mergeCell ref="E7:H7"/>
    <mergeCell ref="E8:H8"/>
    <mergeCell ref="E9:H9"/>
    <mergeCell ref="E10:H10"/>
    <mergeCell ref="E11:H11"/>
    <mergeCell ref="E12:H12"/>
  </mergeCells>
  <pageMargins left="0.25" right="0.25" top="0.75" bottom="0.75" header="0.3" footer="0.3"/>
  <pageSetup paperSize="9" scale="87"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J28"/>
  <sheetViews>
    <sheetView showGridLines="0" workbookViewId="0">
      <selection activeCell="G25" sqref="G25"/>
    </sheetView>
  </sheetViews>
  <sheetFormatPr defaultColWidth="0" defaultRowHeight="19.95" customHeight="1" zeroHeight="1"/>
  <cols>
    <col min="1" max="1" width="1.6640625" style="123" customWidth="1"/>
    <col min="2" max="8" width="15.6640625" style="123" customWidth="1"/>
    <col min="9" max="9" width="1.6640625" style="123" customWidth="1"/>
    <col min="10" max="10" width="18" style="123" hidden="1" customWidth="1"/>
    <col min="11" max="16384" width="9.109375" style="123" hidden="1"/>
  </cols>
  <sheetData>
    <row r="1" spans="2:8" ht="19.95" customHeight="1"/>
    <row r="2" spans="2:8" ht="12.75" customHeight="1">
      <c r="B2" s="276" t="s">
        <v>27</v>
      </c>
      <c r="C2" s="276"/>
      <c r="D2" s="276"/>
      <c r="E2" s="276"/>
      <c r="F2" s="161"/>
      <c r="G2" s="124"/>
      <c r="H2" s="124"/>
    </row>
    <row r="3" spans="2:8" ht="12.75" customHeight="1">
      <c r="B3" s="276"/>
      <c r="C3" s="276"/>
      <c r="D3" s="276"/>
      <c r="E3" s="276"/>
      <c r="F3" s="161"/>
      <c r="G3" s="124"/>
      <c r="H3" s="124"/>
    </row>
    <row r="4" spans="2:8" ht="19.95" customHeight="1">
      <c r="B4" s="124"/>
      <c r="C4" s="124"/>
      <c r="D4" s="124"/>
      <c r="E4" s="124"/>
      <c r="F4" s="124"/>
      <c r="G4" s="124"/>
      <c r="H4" s="124"/>
    </row>
    <row r="5" spans="2:8" ht="19.95" customHeight="1">
      <c r="B5" s="193" t="s">
        <v>255</v>
      </c>
      <c r="C5" s="193"/>
      <c r="D5" s="193"/>
      <c r="E5" s="193"/>
      <c r="F5" s="193"/>
      <c r="G5" s="193"/>
      <c r="H5" s="193"/>
    </row>
    <row r="6" spans="2:8" ht="19.95" customHeight="1">
      <c r="B6" s="193" t="s">
        <v>68</v>
      </c>
      <c r="C6" s="193"/>
      <c r="D6" s="193"/>
      <c r="E6" s="407">
        <f>HOME!C5</f>
        <v>0</v>
      </c>
      <c r="F6" s="408"/>
      <c r="G6" s="408"/>
      <c r="H6" s="409"/>
    </row>
    <row r="7" spans="2:8" ht="19.95" customHeight="1">
      <c r="B7" s="193" t="s">
        <v>2</v>
      </c>
      <c r="C7" s="193"/>
      <c r="D7" s="193"/>
      <c r="E7" s="407">
        <f>HOME!C6</f>
        <v>0</v>
      </c>
      <c r="F7" s="408"/>
      <c r="G7" s="408"/>
      <c r="H7" s="409"/>
    </row>
    <row r="8" spans="2:8" ht="19.95" customHeight="1">
      <c r="B8" s="193" t="s">
        <v>4</v>
      </c>
      <c r="C8" s="193"/>
      <c r="D8" s="193"/>
      <c r="E8" s="407">
        <f>HOME!C7</f>
        <v>0</v>
      </c>
      <c r="F8" s="408"/>
      <c r="G8" s="408"/>
      <c r="H8" s="409"/>
    </row>
    <row r="9" spans="2:8" ht="19.95" customHeight="1">
      <c r="B9" s="193" t="s">
        <v>6</v>
      </c>
      <c r="C9" s="193"/>
      <c r="D9" s="193"/>
      <c r="E9" s="407">
        <f>HOME!C8</f>
        <v>0</v>
      </c>
      <c r="F9" s="408"/>
      <c r="G9" s="408"/>
      <c r="H9" s="409"/>
    </row>
    <row r="10" spans="2:8" ht="19.95" customHeight="1">
      <c r="B10" s="193" t="s">
        <v>8</v>
      </c>
      <c r="C10" s="193"/>
      <c r="D10" s="193"/>
      <c r="E10" s="407">
        <f>HOME!C9</f>
        <v>0</v>
      </c>
      <c r="F10" s="408"/>
      <c r="G10" s="408"/>
      <c r="H10" s="409"/>
    </row>
    <row r="11" spans="2:8" ht="19.95" customHeight="1">
      <c r="B11" s="193" t="s">
        <v>69</v>
      </c>
      <c r="C11" s="193"/>
      <c r="D11" s="193"/>
      <c r="E11" s="407">
        <f>HOME!C10</f>
        <v>0</v>
      </c>
      <c r="F11" s="408"/>
      <c r="G11" s="408"/>
      <c r="H11" s="409"/>
    </row>
    <row r="12" spans="2:8" ht="19.95" customHeight="1">
      <c r="B12" s="193" t="s">
        <v>70</v>
      </c>
      <c r="C12" s="193"/>
      <c r="D12" s="193"/>
      <c r="E12" s="407">
        <f>HOME!C12</f>
        <v>0</v>
      </c>
      <c r="F12" s="408"/>
      <c r="G12" s="408"/>
      <c r="H12" s="409"/>
    </row>
    <row r="13" spans="2:8" ht="19.95" customHeight="1">
      <c r="B13" s="193" t="s">
        <v>64</v>
      </c>
      <c r="C13" s="193"/>
      <c r="D13" s="193"/>
      <c r="E13" s="407"/>
      <c r="F13" s="408"/>
      <c r="G13" s="408"/>
      <c r="H13" s="409"/>
    </row>
    <row r="14" spans="2:8" ht="19.95" customHeight="1"/>
    <row r="15" spans="2:8" ht="19.95" customHeight="1">
      <c r="B15" s="193" t="s">
        <v>256</v>
      </c>
      <c r="C15" s="193"/>
      <c r="D15" s="193"/>
      <c r="E15" s="193"/>
      <c r="F15" s="193"/>
      <c r="G15" s="193"/>
      <c r="H15" s="193"/>
    </row>
    <row r="16" spans="2:8" ht="19.95" customHeight="1">
      <c r="B16" s="193" t="s">
        <v>257</v>
      </c>
      <c r="C16" s="193"/>
      <c r="D16" s="193"/>
      <c r="E16" s="426">
        <f>HOME!C13</f>
        <v>0</v>
      </c>
      <c r="F16" s="426"/>
      <c r="G16" s="426"/>
      <c r="H16" s="426"/>
    </row>
    <row r="17" spans="2:8" ht="19.95" customHeight="1">
      <c r="B17" s="193" t="s">
        <v>18</v>
      </c>
      <c r="C17" s="193"/>
      <c r="D17" s="193"/>
      <c r="E17" s="426">
        <f>HOME!C14</f>
        <v>0</v>
      </c>
      <c r="F17" s="426"/>
      <c r="G17" s="426"/>
      <c r="H17" s="426"/>
    </row>
    <row r="18" spans="2:8" ht="19.95" customHeight="1">
      <c r="B18" s="193" t="s">
        <v>258</v>
      </c>
      <c r="C18" s="193"/>
      <c r="D18" s="193"/>
      <c r="E18" s="426"/>
      <c r="F18" s="426"/>
      <c r="G18" s="426"/>
      <c r="H18" s="426"/>
    </row>
    <row r="19" spans="2:8" ht="19.95" customHeight="1"/>
    <row r="20" spans="2:8" ht="19.95" customHeight="1">
      <c r="B20" s="193" t="s">
        <v>259</v>
      </c>
      <c r="C20" s="193"/>
      <c r="D20" s="193"/>
      <c r="E20" s="193"/>
      <c r="F20" s="193"/>
      <c r="G20" s="193"/>
      <c r="H20" s="193"/>
    </row>
    <row r="21" spans="2:8" ht="19.95" customHeight="1">
      <c r="B21" s="424" t="s">
        <v>260</v>
      </c>
      <c r="C21" s="425"/>
      <c r="D21" s="436"/>
      <c r="E21" s="422"/>
      <c r="F21" s="438"/>
      <c r="G21" s="438"/>
      <c r="H21" s="423"/>
    </row>
    <row r="22" spans="2:8" ht="19.95" customHeight="1">
      <c r="B22" s="193" t="s">
        <v>261</v>
      </c>
      <c r="C22" s="193"/>
      <c r="D22" s="193"/>
      <c r="E22" s="439"/>
      <c r="F22" s="439"/>
      <c r="G22" s="439"/>
      <c r="H22" s="439"/>
    </row>
    <row r="23" spans="2:8" ht="19.95" customHeight="1">
      <c r="B23" s="193" t="s">
        <v>262</v>
      </c>
      <c r="C23" s="193"/>
      <c r="D23" s="193"/>
      <c r="E23" s="439"/>
      <c r="F23" s="439"/>
      <c r="G23" s="439"/>
      <c r="H23" s="439"/>
    </row>
    <row r="24" spans="2:8" ht="14.4">
      <c r="B24" s="424" t="s">
        <v>263</v>
      </c>
      <c r="C24" s="425"/>
      <c r="D24" s="436"/>
      <c r="E24" s="437" t="s">
        <v>264</v>
      </c>
      <c r="F24" s="437"/>
      <c r="G24" s="437"/>
      <c r="H24" s="437"/>
    </row>
    <row r="25" spans="2:8" ht="19.95" customHeight="1"/>
    <row r="26" spans="2:8" ht="19.95" hidden="1" customHeight="1">
      <c r="B26" s="124" t="s">
        <v>265</v>
      </c>
    </row>
    <row r="27" spans="2:8" ht="19.95" hidden="1" customHeight="1">
      <c r="B27" s="124" t="s">
        <v>266</v>
      </c>
    </row>
    <row r="28" spans="2:8" ht="19.95" hidden="1" customHeight="1">
      <c r="B28" s="124" t="s">
        <v>267</v>
      </c>
    </row>
  </sheetData>
  <mergeCells count="34">
    <mergeCell ref="E18:H18"/>
    <mergeCell ref="B18:D18"/>
    <mergeCell ref="B13:D13"/>
    <mergeCell ref="E6:H6"/>
    <mergeCell ref="E7:H7"/>
    <mergeCell ref="E8:H8"/>
    <mergeCell ref="B24:D24"/>
    <mergeCell ref="E24:H24"/>
    <mergeCell ref="E9:H9"/>
    <mergeCell ref="E10:H10"/>
    <mergeCell ref="E11:H11"/>
    <mergeCell ref="E12:H12"/>
    <mergeCell ref="E13:H13"/>
    <mergeCell ref="B21:D21"/>
    <mergeCell ref="E21:H21"/>
    <mergeCell ref="B20:H20"/>
    <mergeCell ref="B23:D23"/>
    <mergeCell ref="B22:D22"/>
    <mergeCell ref="B11:D11"/>
    <mergeCell ref="B12:D12"/>
    <mergeCell ref="E22:H22"/>
    <mergeCell ref="E23:H23"/>
    <mergeCell ref="B2:E3"/>
    <mergeCell ref="B16:D16"/>
    <mergeCell ref="B17:D17"/>
    <mergeCell ref="E17:H17"/>
    <mergeCell ref="E16:H16"/>
    <mergeCell ref="B5:H5"/>
    <mergeCell ref="B6:D6"/>
    <mergeCell ref="B7:D7"/>
    <mergeCell ref="B8:D8"/>
    <mergeCell ref="B9:D9"/>
    <mergeCell ref="B15:H15"/>
    <mergeCell ref="B10:D10"/>
  </mergeCells>
  <dataValidations count="1">
    <dataValidation type="list" allowBlank="1" showInputMessage="1" showErrorMessage="1" sqref="E21:H21" xr:uid="{00000000-0002-0000-0D00-000000000000}">
      <formula1>Service</formula1>
    </dataValidation>
  </dataValidations>
  <pageMargins left="0.7" right="0.7" top="0.75" bottom="0.75" header="0.3" footer="0.3"/>
  <pageSetup paperSize="9" scale="79"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HOME</vt:lpstr>
      <vt:lpstr>Final Moisture Readings</vt:lpstr>
      <vt:lpstr>Completion Note</vt:lpstr>
      <vt:lpstr>Strip Out Works</vt:lpstr>
      <vt:lpstr>Electricity Usage</vt:lpstr>
      <vt:lpstr>Measurements</vt:lpstr>
      <vt:lpstr>Risk Assessment</vt:lpstr>
      <vt:lpstr>PAT Test</vt:lpstr>
      <vt:lpstr>BER List</vt:lpstr>
      <vt:lpstr>Contents Inventory</vt:lpstr>
      <vt:lpstr>Furniture Restoration</vt:lpstr>
      <vt:lpstr>Dry Cleaning &amp; Laundry</vt:lpstr>
      <vt:lpstr>Drying Method Justification</vt:lpstr>
      <vt:lpstr>Removal &amp; Storage Requirement</vt:lpstr>
      <vt:lpstr>Service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Calendar</dc:title>
  <dc:subject/>
  <dc:creator>Valued Acer Customer</dc:creator>
  <cp:keywords/>
  <dc:description>Select a Date calendar</dc:description>
  <cp:lastModifiedBy>Bobby Bell</cp:lastModifiedBy>
  <cp:revision/>
  <dcterms:created xsi:type="dcterms:W3CDTF">2010-05-10T09:29:21Z</dcterms:created>
  <dcterms:modified xsi:type="dcterms:W3CDTF">2025-09-16T14:50:28Z</dcterms:modified>
  <cp:category/>
  <cp:contentStatus/>
</cp:coreProperties>
</file>