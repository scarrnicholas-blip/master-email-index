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viesgroup-my.sharepoint.com/personal/sarah_molyneux_davies-group_com/Documents/Documents/Blank Forms/"/>
    </mc:Choice>
  </mc:AlternateContent>
  <xr:revisionPtr revIDLastSave="258" documentId="14_{A7413166-3916-4ED5-98DD-D607FEDD20B7}" xr6:coauthVersionLast="47" xr6:coauthVersionMax="47" xr10:uidLastSave="{E176415B-11BC-4BCD-9A03-AFA7E7293E09}"/>
  <bookViews>
    <workbookView xWindow="-110" yWindow="-110" windowWidth="19420" windowHeight="10560" firstSheet="1" activeTab="1" xr2:uid="{00000000-000D-0000-FFFF-FFFF00000000}"/>
  </bookViews>
  <sheets>
    <sheet name="HOW TO USE" sheetId="8" r:id="rId1"/>
    <sheet name="LOSS LIST" sheetId="1" r:id="rId2"/>
    <sheet name="Office Use - Settlement" sheetId="4" state="hidden" r:id="rId3"/>
  </sheets>
  <definedNames>
    <definedName name="_xlnm.Print_Area" localSheetId="0">'HOW TO USE'!$A$1:$C$20</definedName>
    <definedName name="_xlnm.Print_Area" localSheetId="1">'LOSS LIST'!$A$1:$K$235</definedName>
    <definedName name="_xlnm.Print_Area" localSheetId="2">'Office Use - Settlement'!$A$1:$O$240</definedName>
    <definedName name="_xlnm.Print_Titles" localSheetId="1">'LOSS LIST'!$1:$4</definedName>
    <definedName name="_xlnm.Print_Titles" localSheetId="2">'Office Use - Settlement'!$6:$9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C10" i="4"/>
  <c r="C11" i="4"/>
  <c r="B12" i="4"/>
  <c r="B13" i="4"/>
  <c r="C14" i="4"/>
  <c r="B16" i="4"/>
  <c r="C16" i="4"/>
  <c r="C17" i="4"/>
  <c r="B18" i="4"/>
  <c r="C15" i="4"/>
  <c r="B7" i="4"/>
  <c r="B6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B238" i="4"/>
  <c r="C238" i="4"/>
  <c r="B239" i="4"/>
  <c r="C239" i="4"/>
  <c r="B159" i="4"/>
  <c r="C159" i="4"/>
  <c r="B155" i="4"/>
  <c r="C155" i="4"/>
  <c r="B156" i="4"/>
  <c r="C156" i="4"/>
  <c r="B157" i="4"/>
  <c r="C157" i="4"/>
  <c r="B158" i="4"/>
  <c r="C158" i="4"/>
  <c r="F9" i="4"/>
  <c r="G240" i="4"/>
  <c r="G9" i="4"/>
  <c r="K9" i="4"/>
  <c r="K240" i="4"/>
  <c r="C12" i="4"/>
  <c r="C13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B11" i="4"/>
  <c r="B14" i="4"/>
  <c r="B17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" i="4"/>
  <c r="E240" i="4"/>
  <c r="M240" i="4"/>
  <c r="M9" i="4"/>
  <c r="C237" i="4" l="1"/>
  <c r="C240" i="4"/>
  <c r="C9" i="4"/>
</calcChain>
</file>

<file path=xl/sharedStrings.xml><?xml version="1.0" encoding="utf-8"?>
<sst xmlns="http://schemas.openxmlformats.org/spreadsheetml/2006/main" count="41" uniqueCount="40">
  <si>
    <t>USER INSTRUCTIONS</t>
  </si>
  <si>
    <t>&gt; Save this spreadsheet to your computer.</t>
  </si>
  <si>
    <t>&gt;&gt; On the "LOSS LIST" sheet, complete as much detail in the white boxes as you can, saving regularly (just in case).</t>
  </si>
  <si>
    <r>
      <t xml:space="preserve">&gt;&gt;&gt; Once completed, double checked and saved, kindly email it back to us at . . . </t>
    </r>
    <r>
      <rPr>
        <sz val="14"/>
        <color rgb="FF0000FF"/>
        <rFont val="Calibri"/>
        <family val="2"/>
      </rPr>
      <t xml:space="preserve"> claims@davies-group.com</t>
    </r>
  </si>
  <si>
    <r>
      <t xml:space="preserve">Please include your </t>
    </r>
    <r>
      <rPr>
        <b/>
        <sz val="12"/>
        <rFont val="Calibri"/>
        <family val="2"/>
      </rPr>
      <t>claims reference number</t>
    </r>
    <r>
      <rPr>
        <sz val="12"/>
        <rFont val="Calibri"/>
        <family val="2"/>
      </rPr>
      <t xml:space="preserve"> and </t>
    </r>
    <r>
      <rPr>
        <b/>
        <sz val="12"/>
        <rFont val="Calibri"/>
        <family val="2"/>
      </rPr>
      <t>Post Code</t>
    </r>
    <r>
      <rPr>
        <sz val="12"/>
        <rFont val="Calibri"/>
        <family val="2"/>
      </rPr>
      <t xml:space="preserve"> in the email heading.</t>
    </r>
  </si>
  <si>
    <r>
      <t xml:space="preserve"> </t>
    </r>
    <r>
      <rPr>
        <b/>
        <sz val="12"/>
        <rFont val="Calibri"/>
        <family val="2"/>
      </rPr>
      <t xml:space="preserve">Thank You </t>
    </r>
    <r>
      <rPr>
        <sz val="12"/>
        <rFont val="Calibri"/>
        <family val="2"/>
      </rPr>
      <t>for your time and effort in compiling this list, it helps us to help you.</t>
    </r>
  </si>
  <si>
    <t>SUPPORTING YOUR OWNERSHIP</t>
  </si>
  <si>
    <r>
      <rPr>
        <b/>
        <sz val="12"/>
        <rFont val="Calibri"/>
        <family val="2"/>
      </rPr>
      <t>Please collate and retain safely</t>
    </r>
    <r>
      <rPr>
        <sz val="12"/>
        <rFont val="Calibri"/>
        <family val="2"/>
      </rPr>
      <t xml:space="preserve"> as many of the various forms of ownership as possible (as described in column F of the Loss List sheet), as your Insurer may wish to view these at any time.</t>
    </r>
  </si>
  <si>
    <t>YOUR NAME :</t>
  </si>
  <si>
    <t>TOTAL</t>
  </si>
  <si>
    <t>CLAIM REF NUMBER :</t>
  </si>
  <si>
    <t>NAME OF YOUR INSURER :</t>
  </si>
  <si>
    <t>ITEM DESCRIPTION</t>
  </si>
  <si>
    <t>HOW OLD 
IS IT?</t>
  </si>
  <si>
    <t>WHERE &amp; WHEN PURCHASED?</t>
  </si>
  <si>
    <t>1. BY WHOM?
2. METHOD OF PAYMENT?</t>
  </si>
  <si>
    <t>WHO DOES THE ITEM BELONG TO?</t>
  </si>
  <si>
    <t>WHERE WAS THE ITEM (GARDEN? IN SHED?)</t>
  </si>
  <si>
    <r>
      <rPr>
        <b/>
        <sz val="14"/>
        <rFont val="Calibri"/>
        <family val="2"/>
        <scheme val="minor"/>
      </rPr>
      <t xml:space="preserve">I CAN PROVIDE </t>
    </r>
    <r>
      <rPr>
        <sz val="12"/>
        <rFont val="Calibri"/>
        <family val="2"/>
        <scheme val="minor"/>
      </rPr>
      <t xml:space="preserve">
1. Purchase receipt / invoice.
2. Valuation (Jewellers).
3. Original Box / Packaging.
4. Instruction Manual.
5. Remote Control.
6. Photo(s) where item appears.</t>
    </r>
  </si>
  <si>
    <t>£ 
ORIGINAL PURCHASE PRICE/COST</t>
  </si>
  <si>
    <t>£ 
COST TO BUY TODAY
(Amount Claimed)</t>
  </si>
  <si>
    <t>NOTES / COMMENTS / INTERNET LINKS</t>
  </si>
  <si>
    <t>Ctns SI</t>
  </si>
  <si>
    <t>HR Limit</t>
  </si>
  <si>
    <t>HR SAL</t>
  </si>
  <si>
    <t>Settlement for:</t>
  </si>
  <si>
    <t>Unspec PP</t>
  </si>
  <si>
    <t>SUPPLIER VALIDATED</t>
  </si>
  <si>
    <t>Method
x</t>
  </si>
  <si>
    <t>Unspec PP SAL</t>
  </si>
  <si>
    <t>ITEM</t>
  </si>
  <si>
    <t>AMOUNT CLAIMED 
BY PH</t>
  </si>
  <si>
    <t>Suppliers Name</t>
  </si>
  <si>
    <t>Gross
Validated
Cost</t>
  </si>
  <si>
    <t>Discounted 
Validated
Cost</t>
  </si>
  <si>
    <t>Cash</t>
  </si>
  <si>
    <t>Replaced</t>
  </si>
  <si>
    <t>W&amp;T
Deduction Amount</t>
  </si>
  <si>
    <t>ACTUAL
SETTLED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</si>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</sst>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18" x14ac:knownFonts="1">
    <font>
      <sz val="10"/>
      <name val="Arial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</font>
    <font>
      <b/>
      <u/>
      <sz val="14"/>
      <name val="Calibri"/>
      <family val="2"/>
    </font>
    <font>
      <sz val="12"/>
      <name val="Calibri"/>
      <family val="2"/>
    </font>
    <font>
      <sz val="14"/>
      <color rgb="FF0000FF"/>
      <name val="Calibri"/>
      <family val="2"/>
    </font>
    <font>
      <u/>
      <sz val="10"/>
      <color theme="10"/>
      <name val="Arial"/>
      <family val="2"/>
    </font>
    <font>
      <sz val="11"/>
      <color rgb="FF202124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06">
    <xf numFmtId="0" fontId="0" fillId="0" borderId="0" xfId="0"/>
    <xf numFmtId="0" fontId="1" fillId="4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vertical="center" textRotation="90"/>
    </xf>
    <xf numFmtId="0" fontId="6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textRotation="90"/>
    </xf>
    <xf numFmtId="0" fontId="1" fillId="0" borderId="7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right" vertical="center"/>
    </xf>
    <xf numFmtId="164" fontId="2" fillId="0" borderId="10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 wrapText="1"/>
    </xf>
    <xf numFmtId="16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right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 vertical="center"/>
    </xf>
    <xf numFmtId="164" fontId="6" fillId="3" borderId="13" xfId="0" applyNumberFormat="1" applyFont="1" applyFill="1" applyBorder="1" applyAlignment="1">
      <alignment horizontal="right" vertical="center"/>
    </xf>
    <xf numFmtId="164" fontId="6" fillId="3" borderId="14" xfId="0" applyNumberFormat="1" applyFont="1" applyFill="1" applyBorder="1" applyAlignment="1">
      <alignment horizontal="right" vertical="center"/>
    </xf>
    <xf numFmtId="164" fontId="6" fillId="3" borderId="8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 textRotation="90"/>
    </xf>
    <xf numFmtId="0" fontId="6" fillId="5" borderId="3" xfId="0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right" vertical="center"/>
    </xf>
    <xf numFmtId="164" fontId="6" fillId="5" borderId="8" xfId="0" applyNumberFormat="1" applyFont="1" applyFill="1" applyBorder="1" applyAlignment="1">
      <alignment horizontal="right" vertical="center"/>
    </xf>
    <xf numFmtId="164" fontId="1" fillId="3" borderId="2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4" borderId="24" xfId="0" applyFont="1" applyFill="1" applyBorder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49" fontId="5" fillId="4" borderId="0" xfId="0" applyNumberFormat="1" applyFont="1" applyFill="1" applyAlignment="1">
      <alignment vertical="top" wrapText="1"/>
    </xf>
    <xf numFmtId="164" fontId="9" fillId="0" borderId="26" xfId="0" applyNumberFormat="1" applyFont="1" applyBorder="1" applyAlignment="1">
      <alignment vertical="top" wrapText="1"/>
    </xf>
    <xf numFmtId="164" fontId="9" fillId="0" borderId="11" xfId="0" applyNumberFormat="1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164" fontId="9" fillId="0" borderId="27" xfId="0" applyNumberFormat="1" applyFont="1" applyBorder="1" applyAlignment="1">
      <alignment vertical="top" wrapText="1"/>
    </xf>
    <xf numFmtId="164" fontId="9" fillId="0" borderId="12" xfId="0" applyNumberFormat="1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49" fontId="9" fillId="0" borderId="42" xfId="0" applyNumberFormat="1" applyFont="1" applyBorder="1" applyAlignment="1">
      <alignment vertical="top" wrapText="1"/>
    </xf>
    <xf numFmtId="49" fontId="9" fillId="0" borderId="43" xfId="0" applyNumberFormat="1" applyFont="1" applyBorder="1" applyAlignment="1">
      <alignment vertical="top" wrapText="1"/>
    </xf>
    <xf numFmtId="49" fontId="9" fillId="0" borderId="44" xfId="0" applyNumberFormat="1" applyFont="1" applyBorder="1" applyAlignment="1">
      <alignment vertical="top" wrapText="1"/>
    </xf>
    <xf numFmtId="49" fontId="9" fillId="0" borderId="45" xfId="0" applyNumberFormat="1" applyFont="1" applyBorder="1" applyAlignment="1">
      <alignment vertical="top" wrapText="1"/>
    </xf>
    <xf numFmtId="49" fontId="9" fillId="0" borderId="46" xfId="0" applyNumberFormat="1" applyFont="1" applyBorder="1" applyAlignment="1">
      <alignment vertical="top" wrapText="1"/>
    </xf>
    <xf numFmtId="49" fontId="10" fillId="3" borderId="36" xfId="0" applyNumberFormat="1" applyFont="1" applyFill="1" applyBorder="1" applyAlignment="1">
      <alignment horizontal="center" vertical="center" wrapText="1"/>
    </xf>
    <xf numFmtId="49" fontId="10" fillId="3" borderId="40" xfId="0" applyNumberFormat="1" applyFont="1" applyFill="1" applyBorder="1" applyAlignment="1">
      <alignment horizontal="center" vertical="center" wrapText="1"/>
    </xf>
    <xf numFmtId="49" fontId="10" fillId="3" borderId="41" xfId="0" applyNumberFormat="1" applyFont="1" applyFill="1" applyBorder="1" applyAlignment="1">
      <alignment horizontal="center" vertical="center" wrapText="1"/>
    </xf>
    <xf numFmtId="164" fontId="10" fillId="3" borderId="20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right" vertical="center"/>
    </xf>
    <xf numFmtId="164" fontId="5" fillId="0" borderId="11" xfId="0" applyNumberFormat="1" applyFont="1" applyBorder="1" applyAlignment="1">
      <alignment vertical="top" wrapText="1"/>
    </xf>
    <xf numFmtId="164" fontId="5" fillId="0" borderId="12" xfId="0" applyNumberFormat="1" applyFont="1" applyBorder="1" applyAlignment="1">
      <alignment vertical="top" wrapText="1"/>
    </xf>
    <xf numFmtId="0" fontId="11" fillId="3" borderId="1" xfId="0" applyFont="1" applyFill="1" applyBorder="1" applyAlignment="1">
      <alignment horizontal="left" wrapText="1"/>
    </xf>
    <xf numFmtId="0" fontId="11" fillId="2" borderId="0" xfId="0" applyFont="1" applyFill="1"/>
    <xf numFmtId="0" fontId="12" fillId="3" borderId="3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3" fillId="2" borderId="0" xfId="0" applyFont="1" applyFill="1"/>
    <xf numFmtId="0" fontId="13" fillId="3" borderId="3" xfId="0" applyFont="1" applyFill="1" applyBorder="1"/>
    <xf numFmtId="0" fontId="11" fillId="3" borderId="6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3" borderId="1" xfId="0" applyFont="1" applyFill="1" applyBorder="1" applyAlignment="1">
      <alignment wrapText="1"/>
    </xf>
    <xf numFmtId="0" fontId="10" fillId="3" borderId="47" xfId="0" applyFont="1" applyFill="1" applyBorder="1" applyAlignment="1">
      <alignment horizontal="center" vertical="center" wrapText="1"/>
    </xf>
    <xf numFmtId="49" fontId="2" fillId="6" borderId="28" xfId="0" applyNumberFormat="1" applyFont="1" applyFill="1" applyBorder="1" applyAlignment="1">
      <alignment horizontal="left" vertical="center"/>
    </xf>
    <xf numFmtId="49" fontId="2" fillId="6" borderId="17" xfId="0" applyNumberFormat="1" applyFont="1" applyFill="1" applyBorder="1" applyAlignment="1">
      <alignment horizontal="left" vertical="center"/>
    </xf>
    <xf numFmtId="49" fontId="2" fillId="6" borderId="35" xfId="0" applyNumberFormat="1" applyFont="1" applyFill="1" applyBorder="1" applyAlignment="1">
      <alignment horizontal="left" vertical="center"/>
    </xf>
    <xf numFmtId="49" fontId="2" fillId="6" borderId="29" xfId="0" applyNumberFormat="1" applyFont="1" applyFill="1" applyBorder="1" applyAlignment="1">
      <alignment horizontal="left" vertical="center"/>
    </xf>
    <xf numFmtId="49" fontId="2" fillId="6" borderId="19" xfId="0" applyNumberFormat="1" applyFont="1" applyFill="1" applyBorder="1" applyAlignment="1">
      <alignment horizontal="left" vertical="center"/>
    </xf>
    <xf numFmtId="164" fontId="10" fillId="3" borderId="23" xfId="0" applyNumberFormat="1" applyFont="1" applyFill="1" applyBorder="1" applyAlignment="1">
      <alignment vertical="top" wrapText="1"/>
    </xf>
    <xf numFmtId="164" fontId="10" fillId="3" borderId="25" xfId="0" applyNumberFormat="1" applyFont="1" applyFill="1" applyBorder="1" applyAlignment="1">
      <alignment vertical="top" wrapText="1"/>
    </xf>
    <xf numFmtId="164" fontId="10" fillId="3" borderId="15" xfId="0" applyNumberFormat="1" applyFont="1" applyFill="1" applyBorder="1" applyAlignment="1">
      <alignment vertical="top" wrapText="1"/>
    </xf>
    <xf numFmtId="164" fontId="8" fillId="6" borderId="22" xfId="0" applyNumberFormat="1" applyFont="1" applyFill="1" applyBorder="1" applyAlignment="1">
      <alignment horizontal="right" vertical="center"/>
    </xf>
    <xf numFmtId="164" fontId="8" fillId="6" borderId="5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49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164" fontId="6" fillId="3" borderId="32" xfId="0" applyNumberFormat="1" applyFont="1" applyFill="1" applyBorder="1" applyAlignment="1">
      <alignment horizontal="center" vertical="center"/>
    </xf>
    <xf numFmtId="164" fontId="6" fillId="3" borderId="33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center" textRotation="90" wrapText="1"/>
    </xf>
    <xf numFmtId="0" fontId="1" fillId="7" borderId="1" xfId="0" applyFont="1" applyFill="1" applyBorder="1" applyAlignment="1">
      <alignment horizontal="center" vertical="center"/>
    </xf>
    <xf numFmtId="1" fontId="1" fillId="7" borderId="3" xfId="0" applyNumberFormat="1" applyFont="1" applyFill="1" applyBorder="1" applyAlignment="1">
      <alignment horizontal="center" vertical="center"/>
    </xf>
    <xf numFmtId="1" fontId="1" fillId="7" borderId="6" xfId="0" quotePrefix="1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7" borderId="48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right" vertical="center"/>
    </xf>
    <xf numFmtId="164" fontId="1" fillId="7" borderId="22" xfId="0" applyNumberFormat="1" applyFont="1" applyFill="1" applyBorder="1" applyAlignment="1">
      <alignment horizontal="right" vertical="center"/>
    </xf>
    <xf numFmtId="164" fontId="6" fillId="7" borderId="13" xfId="0" applyNumberFormat="1" applyFont="1" applyFill="1" applyBorder="1" applyAlignment="1">
      <alignment horizontal="right" vertical="center"/>
    </xf>
    <xf numFmtId="164" fontId="6" fillId="7" borderId="8" xfId="0" applyNumberFormat="1" applyFont="1" applyFill="1" applyBorder="1" applyAlignment="1">
      <alignment horizontal="right" vertical="center"/>
    </xf>
    <xf numFmtId="164" fontId="6" fillId="7" borderId="14" xfId="0" applyNumberFormat="1" applyFont="1" applyFill="1" applyBorder="1" applyAlignment="1">
      <alignment horizontal="right" vertical="center"/>
    </xf>
    <xf numFmtId="164" fontId="10" fillId="3" borderId="47" xfId="0" applyNumberFormat="1" applyFont="1" applyFill="1" applyBorder="1" applyAlignment="1">
      <alignment horizontal="center" vertical="center" wrapText="1"/>
    </xf>
    <xf numFmtId="164" fontId="2" fillId="3" borderId="51" xfId="0" applyNumberFormat="1" applyFont="1" applyFill="1" applyBorder="1" applyAlignment="1">
      <alignment horizontal="right" vertical="center"/>
    </xf>
    <xf numFmtId="164" fontId="1" fillId="7" borderId="48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right" vertical="center"/>
    </xf>
    <xf numFmtId="8" fontId="1" fillId="4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8" fontId="6" fillId="4" borderId="0" xfId="0" applyNumberFormat="1" applyFont="1" applyFill="1" applyAlignment="1">
      <alignment vertical="center"/>
    </xf>
    <xf numFmtId="164" fontId="6" fillId="3" borderId="17" xfId="0" applyNumberFormat="1" applyFont="1" applyFill="1" applyBorder="1" applyAlignment="1">
      <alignment horizontal="right" vertical="center"/>
    </xf>
    <xf numFmtId="164" fontId="6" fillId="3" borderId="35" xfId="0" applyNumberFormat="1" applyFont="1" applyFill="1" applyBorder="1" applyAlignment="1">
      <alignment horizontal="right" vertical="center"/>
    </xf>
    <xf numFmtId="164" fontId="6" fillId="3" borderId="19" xfId="0" applyNumberFormat="1" applyFont="1" applyFill="1" applyBorder="1" applyAlignment="1">
      <alignment horizontal="right" vertical="center"/>
    </xf>
    <xf numFmtId="164" fontId="6" fillId="3" borderId="50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164" fontId="6" fillId="0" borderId="8" xfId="0" applyNumberFormat="1" applyFont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6" fillId="3" borderId="57" xfId="0" applyNumberFormat="1" applyFont="1" applyFill="1" applyBorder="1" applyAlignment="1">
      <alignment horizontal="center" vertical="center"/>
    </xf>
    <xf numFmtId="164" fontId="6" fillId="3" borderId="58" xfId="0" applyNumberFormat="1" applyFont="1" applyFill="1" applyBorder="1" applyAlignment="1">
      <alignment horizontal="center" vertical="center"/>
    </xf>
    <xf numFmtId="164" fontId="1" fillId="3" borderId="59" xfId="0" applyNumberFormat="1" applyFont="1" applyFill="1" applyBorder="1" applyAlignment="1">
      <alignment horizontal="center" vertical="center"/>
    </xf>
    <xf numFmtId="164" fontId="6" fillId="3" borderId="59" xfId="0" applyNumberFormat="1" applyFont="1" applyFill="1" applyBorder="1" applyAlignment="1">
      <alignment horizontal="center" vertical="center"/>
    </xf>
    <xf numFmtId="0" fontId="15" fillId="0" borderId="11" xfId="1" applyFill="1" applyBorder="1" applyAlignment="1">
      <alignment vertical="top" wrapText="1"/>
    </xf>
    <xf numFmtId="0" fontId="16" fillId="0" borderId="0" xfId="0" applyFont="1"/>
    <xf numFmtId="49" fontId="9" fillId="0" borderId="60" xfId="0" applyNumberFormat="1" applyFont="1" applyBorder="1" applyAlignment="1">
      <alignment vertical="top" wrapText="1"/>
    </xf>
    <xf numFmtId="49" fontId="9" fillId="0" borderId="61" xfId="0" applyNumberFormat="1" applyFont="1" applyBorder="1" applyAlignment="1">
      <alignment vertical="top" wrapText="1"/>
    </xf>
    <xf numFmtId="0" fontId="2" fillId="6" borderId="28" xfId="0" applyFont="1" applyFill="1" applyBorder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6" borderId="29" xfId="0" applyFont="1" applyFill="1" applyBorder="1" applyAlignment="1">
      <alignment horizontal="right" vertical="center"/>
    </xf>
    <xf numFmtId="0" fontId="0" fillId="0" borderId="62" xfId="0" applyBorder="1" applyAlignment="1">
      <alignment vertical="center" wrapText="1"/>
    </xf>
    <xf numFmtId="0" fontId="9" fillId="0" borderId="11" xfId="0" applyFont="1" applyBorder="1" applyAlignment="1">
      <alignment vertical="top" wrapText="1"/>
    </xf>
    <xf numFmtId="0" fontId="15" fillId="0" borderId="63" xfId="1" applyBorder="1"/>
    <xf numFmtId="0" fontId="15" fillId="0" borderId="64" xfId="1" applyBorder="1"/>
    <xf numFmtId="0" fontId="4" fillId="0" borderId="62" xfId="0" applyFont="1" applyBorder="1" applyAlignment="1">
      <alignment vertical="center" wrapText="1"/>
    </xf>
    <xf numFmtId="0" fontId="17" fillId="0" borderId="62" xfId="0" applyFont="1" applyBorder="1" applyAlignment="1">
      <alignment vertical="center" wrapText="1"/>
    </xf>
    <xf numFmtId="8" fontId="15" fillId="0" borderId="64" xfId="1" applyNumberFormat="1" applyBorder="1"/>
    <xf numFmtId="0" fontId="0" fillId="0" borderId="10" xfId="0" applyBorder="1" applyAlignment="1">
      <alignment vertical="center" wrapText="1"/>
    </xf>
    <xf numFmtId="0" fontId="15" fillId="0" borderId="12" xfId="1" applyBorder="1" applyAlignment="1">
      <alignment vertical="top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51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right" vertical="center"/>
    </xf>
    <xf numFmtId="0" fontId="2" fillId="3" borderId="37" xfId="0" applyFont="1" applyFill="1" applyBorder="1" applyAlignment="1">
      <alignment horizontal="right" vertical="center"/>
    </xf>
    <xf numFmtId="0" fontId="2" fillId="3" borderId="33" xfId="0" applyFont="1" applyFill="1" applyBorder="1" applyAlignment="1">
      <alignment horizontal="right" vertical="center"/>
    </xf>
    <xf numFmtId="0" fontId="2" fillId="3" borderId="38" xfId="0" applyFont="1" applyFill="1" applyBorder="1" applyAlignment="1">
      <alignment horizontal="right" vertical="center"/>
    </xf>
    <xf numFmtId="0" fontId="2" fillId="3" borderId="18" xfId="0" applyFont="1" applyFill="1" applyBorder="1" applyAlignment="1">
      <alignment horizontal="right" vertical="center"/>
    </xf>
    <xf numFmtId="0" fontId="2" fillId="3" borderId="39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52" xfId="0" applyNumberFormat="1" applyFont="1" applyFill="1" applyBorder="1" applyAlignment="1">
      <alignment horizontal="center" vertical="center" textRotation="90" wrapText="1"/>
    </xf>
    <xf numFmtId="164" fontId="1" fillId="3" borderId="49" xfId="0" applyNumberFormat="1" applyFont="1" applyFill="1" applyBorder="1" applyAlignment="1">
      <alignment horizontal="center" vertical="center" textRotation="90" wrapText="1"/>
    </xf>
    <xf numFmtId="164" fontId="1" fillId="3" borderId="55" xfId="0" applyNumberFormat="1" applyFont="1" applyFill="1" applyBorder="1" applyAlignment="1">
      <alignment horizontal="center" vertical="center" textRotation="90" wrapText="1"/>
    </xf>
    <xf numFmtId="164" fontId="1" fillId="3" borderId="56" xfId="0" applyNumberFormat="1" applyFont="1" applyFill="1" applyBorder="1" applyAlignment="1">
      <alignment horizontal="center" vertical="center" textRotation="90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4" fontId="1" fillId="3" borderId="52" xfId="0" applyNumberFormat="1" applyFont="1" applyFill="1" applyBorder="1" applyAlignment="1">
      <alignment horizontal="center" vertical="center" wrapText="1"/>
    </xf>
    <xf numFmtId="164" fontId="1" fillId="3" borderId="54" xfId="0" applyNumberFormat="1" applyFont="1" applyFill="1" applyBorder="1" applyAlignment="1">
      <alignment horizontal="center" vertical="center"/>
    </xf>
    <xf numFmtId="164" fontId="1" fillId="3" borderId="49" xfId="0" applyNumberFormat="1" applyFont="1" applyFill="1" applyBorder="1" applyAlignment="1">
      <alignment horizontal="center" vertical="center"/>
    </xf>
    <xf numFmtId="164" fontId="1" fillId="3" borderId="50" xfId="0" applyNumberFormat="1" applyFont="1" applyFill="1" applyBorder="1" applyAlignment="1">
      <alignment horizontal="center" vertical="center"/>
    </xf>
    <xf numFmtId="164" fontId="2" fillId="3" borderId="52" xfId="0" applyNumberFormat="1" applyFont="1" applyFill="1" applyBorder="1" applyAlignment="1">
      <alignment horizontal="center" vertical="center"/>
    </xf>
    <xf numFmtId="164" fontId="2" fillId="3" borderId="53" xfId="0" applyNumberFormat="1" applyFont="1" applyFill="1" applyBorder="1" applyAlignment="1">
      <alignment horizontal="center" vertical="center"/>
    </xf>
    <xf numFmtId="164" fontId="2" fillId="3" borderId="54" xfId="0" applyNumberFormat="1" applyFont="1" applyFill="1" applyBorder="1" applyAlignment="1">
      <alignment horizontal="center" vertical="center"/>
    </xf>
    <xf numFmtId="164" fontId="2" fillId="3" borderId="49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50" xfId="0" applyNumberFormat="1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right" vertical="center"/>
    </xf>
    <xf numFmtId="164" fontId="1" fillId="3" borderId="28" xfId="0" applyNumberFormat="1" applyFont="1" applyFill="1" applyBorder="1" applyAlignment="1">
      <alignment horizontal="right" vertical="center"/>
    </xf>
    <xf numFmtId="164" fontId="1" fillId="3" borderId="33" xfId="0" applyNumberFormat="1" applyFont="1" applyFill="1" applyBorder="1" applyAlignment="1">
      <alignment horizontal="right" vertical="center"/>
    </xf>
    <xf numFmtId="164" fontId="1" fillId="3" borderId="34" xfId="0" applyNumberFormat="1" applyFont="1" applyFill="1" applyBorder="1" applyAlignment="1">
      <alignment horizontal="right" vertical="center"/>
    </xf>
    <xf numFmtId="164" fontId="1" fillId="3" borderId="18" xfId="0" applyNumberFormat="1" applyFont="1" applyFill="1" applyBorder="1" applyAlignment="1">
      <alignment horizontal="right" vertical="center"/>
    </xf>
    <xf numFmtId="164" fontId="1" fillId="3" borderId="29" xfId="0" applyNumberFormat="1" applyFont="1" applyFill="1" applyBorder="1" applyAlignment="1">
      <alignment horizontal="right" vertical="center"/>
    </xf>
    <xf numFmtId="164" fontId="1" fillId="3" borderId="49" xfId="0" applyNumberFormat="1" applyFont="1" applyFill="1" applyBorder="1" applyAlignment="1">
      <alignment horizontal="right" vertical="center"/>
    </xf>
    <xf numFmtId="164" fontId="1" fillId="3" borderId="7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1">
    <dxf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254789</xdr:colOff>
      <xdr:row>0</xdr:row>
      <xdr:rowOff>195603</xdr:rowOff>
    </xdr:from>
    <xdr:to>
      <xdr:col>1</xdr:col>
      <xdr:colOff>2226462</xdr:colOff>
      <xdr:row>2</xdr:row>
      <xdr:rowOff>112312</xdr:rowOff>
    </xdr:to>
    <xdr:pic>
      <xdr:nvPicPr>
        <xdr:cNvPr id="2" name="Picture 2" descr="DaviesPropClaimsLogoCMY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4968" y="195603"/>
          <a:ext cx="1971673" cy="5426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19"/>
  <sheetViews>
    <sheetView zoomScale="110" zoomScaleNormal="110" workbookViewId="0">
      <selection activeCell="K32" sqref="K32"/>
    </sheetView>
  </sheetViews>
  <sheetFormatPr defaultColWidth="9.26953125" defaultRowHeight="15.5" x14ac:dyDescent="0.35"/>
  <cols>
    <col min="1" max="1" width="2.7265625" style="78" customWidth="1"/>
    <col min="2" max="2" width="126.453125" style="85" bestFit="1" customWidth="1"/>
    <col min="3" max="3" width="9.26953125" style="78"/>
    <col min="4" max="4" width="9.81640625" style="78" customWidth="1"/>
    <col min="5" max="16384" width="9.26953125" style="78"/>
  </cols>
  <sheetData>
    <row r="1" spans="2:2" ht="16" thickBot="1" x14ac:dyDescent="0.4"/>
    <row r="2" spans="2:2" x14ac:dyDescent="0.35">
      <c r="B2" s="77"/>
    </row>
    <row r="3" spans="2:2" ht="18.5" x14ac:dyDescent="0.45">
      <c r="B3" s="79" t="s">
        <v>0</v>
      </c>
    </row>
    <row r="4" spans="2:2" x14ac:dyDescent="0.35">
      <c r="B4" s="80"/>
    </row>
    <row r="5" spans="2:2" x14ac:dyDescent="0.35">
      <c r="B5" s="81" t="s">
        <v>1</v>
      </c>
    </row>
    <row r="6" spans="2:2" x14ac:dyDescent="0.35">
      <c r="B6" s="81"/>
    </row>
    <row r="7" spans="2:2" x14ac:dyDescent="0.35">
      <c r="B7" s="81" t="s">
        <v>2</v>
      </c>
    </row>
    <row r="8" spans="2:2" x14ac:dyDescent="0.35">
      <c r="B8" s="81"/>
    </row>
    <row r="9" spans="2:2" s="82" customFormat="1" ht="18.5" x14ac:dyDescent="0.45">
      <c r="B9" s="81" t="s">
        <v>3</v>
      </c>
    </row>
    <row r="10" spans="2:2" x14ac:dyDescent="0.35">
      <c r="B10" s="83" t="s">
        <v>4</v>
      </c>
    </row>
    <row r="11" spans="2:2" x14ac:dyDescent="0.35">
      <c r="B11" s="81"/>
    </row>
    <row r="12" spans="2:2" x14ac:dyDescent="0.35">
      <c r="B12" s="81" t="s">
        <v>5</v>
      </c>
    </row>
    <row r="13" spans="2:2" ht="16" thickBot="1" x14ac:dyDescent="0.4">
      <c r="B13" s="84"/>
    </row>
    <row r="14" spans="2:2" ht="16" thickBot="1" x14ac:dyDescent="0.4"/>
    <row r="15" spans="2:2" x14ac:dyDescent="0.35">
      <c r="B15" s="86"/>
    </row>
    <row r="16" spans="2:2" ht="18.5" x14ac:dyDescent="0.45">
      <c r="B16" s="79" t="s">
        <v>6</v>
      </c>
    </row>
    <row r="17" spans="2:2" x14ac:dyDescent="0.35">
      <c r="B17" s="80"/>
    </row>
    <row r="18" spans="2:2" ht="31" x14ac:dyDescent="0.35">
      <c r="B18" s="81" t="s">
        <v>7</v>
      </c>
    </row>
    <row r="19" spans="2:2" ht="16" thickBot="1" x14ac:dyDescent="0.4">
      <c r="B19" s="84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scale="95" orientation="landscape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400"/>
  <sheetViews>
    <sheetView tabSelected="1" topLeftCell="B1" zoomScale="60" zoomScaleNormal="60" workbookViewId="0">
      <pane ySplit="4" topLeftCell="A231" activePane="bottomLeft" state="frozen"/>
      <selection activeCell="E1" sqref="E1"/>
      <selection pane="bottomLeft" activeCell="B5" sqref="B5:K236"/>
    </sheetView>
  </sheetViews>
  <sheetFormatPr defaultColWidth="9.26953125" defaultRowHeight="15.5" x14ac:dyDescent="0.25"/>
  <cols>
    <col min="1" max="1" width="7" style="17" bestFit="1" customWidth="1"/>
    <col min="2" max="2" width="37.7265625" style="18" customWidth="1"/>
    <col min="3" max="7" width="20.7265625" style="19" customWidth="1"/>
    <col min="8" max="8" width="34.7265625" style="20" bestFit="1" customWidth="1"/>
    <col min="9" max="9" width="28.81640625" style="21" customWidth="1"/>
    <col min="10" max="10" width="27.26953125" style="22" customWidth="1"/>
    <col min="11" max="11" width="70.81640625" style="23" customWidth="1"/>
    <col min="12" max="34" width="9.26953125" style="15"/>
    <col min="35" max="16384" width="9.26953125" style="16"/>
  </cols>
  <sheetData>
    <row r="1" spans="1:34" ht="25" customHeight="1" x14ac:dyDescent="0.25">
      <c r="A1" s="106"/>
      <c r="B1" s="71"/>
      <c r="C1" s="172" t="s">
        <v>8</v>
      </c>
      <c r="D1" s="173"/>
      <c r="E1" s="158"/>
      <c r="F1" s="158"/>
      <c r="G1" s="88"/>
      <c r="H1" s="89"/>
      <c r="I1" s="170" t="s">
        <v>9</v>
      </c>
      <c r="J1" s="170" t="s">
        <v>9</v>
      </c>
      <c r="K1" s="104"/>
    </row>
    <row r="2" spans="1:34" ht="25" customHeight="1" x14ac:dyDescent="0.3">
      <c r="A2" s="42"/>
      <c r="B2" s="72"/>
      <c r="C2" s="174" t="s">
        <v>10</v>
      </c>
      <c r="D2" s="175"/>
      <c r="E2" s="159"/>
      <c r="F2" s="159"/>
      <c r="G2" s="155"/>
      <c r="H2" s="90"/>
      <c r="I2" s="171"/>
      <c r="J2" s="171"/>
      <c r="K2" s="104"/>
    </row>
    <row r="3" spans="1:34" ht="25" customHeight="1" thickBot="1" x14ac:dyDescent="0.3">
      <c r="A3" s="42"/>
      <c r="B3" s="73"/>
      <c r="C3" s="176" t="s">
        <v>11</v>
      </c>
      <c r="D3" s="177"/>
      <c r="E3" s="160"/>
      <c r="F3" s="160"/>
      <c r="G3" s="91"/>
      <c r="H3" s="92"/>
      <c r="I3" s="131"/>
      <c r="J3" s="74"/>
      <c r="K3" s="105"/>
    </row>
    <row r="4" spans="1:34" s="14" customFormat="1" ht="112" thickBot="1" x14ac:dyDescent="0.3">
      <c r="A4" s="107"/>
      <c r="B4" s="103" t="s">
        <v>12</v>
      </c>
      <c r="C4" s="67" t="s">
        <v>13</v>
      </c>
      <c r="D4" s="68" t="s">
        <v>14</v>
      </c>
      <c r="E4" s="69" t="s">
        <v>15</v>
      </c>
      <c r="F4" s="69" t="s">
        <v>16</v>
      </c>
      <c r="G4" s="69" t="s">
        <v>17</v>
      </c>
      <c r="H4" s="111" t="s">
        <v>18</v>
      </c>
      <c r="I4" s="130" t="s">
        <v>19</v>
      </c>
      <c r="J4" s="70" t="s">
        <v>20</v>
      </c>
      <c r="K4" s="87" t="s">
        <v>21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50.15" customHeight="1" x14ac:dyDescent="0.25">
      <c r="A5" s="108">
        <v>1</v>
      </c>
      <c r="B5" s="165"/>
      <c r="C5" s="62"/>
      <c r="D5" s="63"/>
      <c r="E5" s="156"/>
      <c r="F5" s="156"/>
      <c r="G5" s="166"/>
      <c r="H5" s="56"/>
      <c r="I5" s="57"/>
      <c r="J5" s="75"/>
      <c r="K5" s="154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 ht="50.15" customHeight="1" x14ac:dyDescent="0.25">
      <c r="A6" s="109">
        <v>2</v>
      </c>
      <c r="B6" s="165"/>
      <c r="C6" s="64"/>
      <c r="D6" s="65"/>
      <c r="E6" s="157"/>
      <c r="F6" s="157"/>
      <c r="G6" s="161"/>
      <c r="H6" s="59"/>
      <c r="I6" s="60"/>
      <c r="J6" s="76"/>
      <c r="K6" s="163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7" spans="1:34" ht="50.15" customHeight="1" x14ac:dyDescent="0.25">
      <c r="A7" s="109">
        <v>3</v>
      </c>
      <c r="B7" s="166"/>
      <c r="C7" s="64"/>
      <c r="D7" s="65"/>
      <c r="E7" s="157"/>
      <c r="F7" s="157"/>
      <c r="G7" s="161"/>
      <c r="H7" s="59"/>
      <c r="I7" s="60"/>
      <c r="J7" s="76"/>
      <c r="K7" s="164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 spans="1:34" ht="50.15" customHeight="1" x14ac:dyDescent="0.25">
      <c r="A8" s="109">
        <v>4</v>
      </c>
      <c r="B8" s="166"/>
      <c r="C8" s="64"/>
      <c r="D8" s="65"/>
      <c r="E8" s="157"/>
      <c r="F8" s="157"/>
      <c r="G8" s="161"/>
      <c r="H8" s="59"/>
      <c r="I8" s="60"/>
      <c r="J8" s="76"/>
      <c r="K8" s="164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 spans="1:34" ht="50.15" customHeight="1" x14ac:dyDescent="0.25">
      <c r="A9" s="109">
        <v>5</v>
      </c>
      <c r="B9" s="166"/>
      <c r="C9" s="64"/>
      <c r="D9" s="65"/>
      <c r="E9" s="157"/>
      <c r="F9" s="157"/>
      <c r="G9" s="161"/>
      <c r="H9" s="59"/>
      <c r="I9" s="60"/>
      <c r="J9" s="76"/>
      <c r="K9" s="164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 ht="50.15" customHeight="1" x14ac:dyDescent="0.25">
      <c r="A10" s="109">
        <v>6</v>
      </c>
      <c r="B10" s="166"/>
      <c r="C10" s="64"/>
      <c r="D10" s="65"/>
      <c r="E10" s="157"/>
      <c r="F10" s="157"/>
      <c r="G10" s="161"/>
      <c r="H10" s="59"/>
      <c r="I10" s="60"/>
      <c r="J10" s="76"/>
      <c r="K10" s="167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1:34" ht="50.15" customHeight="1" x14ac:dyDescent="0.25">
      <c r="A11" s="109">
        <v>7</v>
      </c>
      <c r="B11" s="161"/>
      <c r="C11" s="64"/>
      <c r="D11" s="65"/>
      <c r="E11" s="157"/>
      <c r="F11" s="157"/>
      <c r="G11" s="161"/>
      <c r="H11" s="59"/>
      <c r="I11" s="60"/>
      <c r="J11" s="76"/>
      <c r="K11" s="164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 spans="1:34" ht="50.15" customHeight="1" x14ac:dyDescent="0.25">
      <c r="A12" s="109">
        <v>8</v>
      </c>
      <c r="B12" s="161"/>
      <c r="C12" s="64"/>
      <c r="D12" s="65"/>
      <c r="E12" s="157"/>
      <c r="F12" s="157"/>
      <c r="G12" s="161"/>
      <c r="H12" s="59"/>
      <c r="I12" s="60"/>
      <c r="J12" s="76"/>
      <c r="K12" s="162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 spans="1:34" ht="50.15" customHeight="1" x14ac:dyDescent="0.25">
      <c r="A13" s="109">
        <v>9</v>
      </c>
      <c r="B13" s="161"/>
      <c r="C13" s="64"/>
      <c r="D13" s="65"/>
      <c r="E13" s="157"/>
      <c r="F13" s="157"/>
      <c r="G13" s="161"/>
      <c r="H13" s="59"/>
      <c r="I13" s="60"/>
      <c r="J13" s="76"/>
      <c r="K13" s="61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 ht="50.15" customHeight="1" x14ac:dyDescent="0.25">
      <c r="A14" s="109">
        <v>10</v>
      </c>
      <c r="B14" s="161"/>
      <c r="C14" s="64"/>
      <c r="D14" s="65"/>
      <c r="E14" s="157"/>
      <c r="F14" s="157"/>
      <c r="G14" s="161"/>
      <c r="H14" s="59"/>
      <c r="I14" s="60"/>
      <c r="J14" s="76"/>
      <c r="K14" s="61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34" ht="50.15" customHeight="1" x14ac:dyDescent="0.25">
      <c r="A15" s="109">
        <v>11</v>
      </c>
      <c r="B15" s="161"/>
      <c r="C15" s="64"/>
      <c r="D15" s="65"/>
      <c r="E15" s="157"/>
      <c r="F15" s="157"/>
      <c r="G15" s="161"/>
      <c r="H15" s="59"/>
      <c r="I15" s="60"/>
      <c r="J15" s="76"/>
      <c r="K15" s="61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1:34" ht="50.15" customHeight="1" x14ac:dyDescent="0.25">
      <c r="A16" s="109">
        <v>12</v>
      </c>
      <c r="B16" s="161"/>
      <c r="C16" s="64"/>
      <c r="D16" s="65"/>
      <c r="E16" s="157"/>
      <c r="F16" s="157"/>
      <c r="G16" s="161"/>
      <c r="H16" s="59"/>
      <c r="I16" s="60"/>
      <c r="J16" s="76"/>
      <c r="K16" s="61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4" ht="50.15" customHeight="1" x14ac:dyDescent="0.25">
      <c r="A17" s="109">
        <v>13</v>
      </c>
      <c r="B17" s="161"/>
      <c r="C17" s="64"/>
      <c r="D17" s="65"/>
      <c r="E17" s="157"/>
      <c r="F17" s="157"/>
      <c r="G17" s="161"/>
      <c r="H17" s="59"/>
      <c r="I17" s="60"/>
      <c r="J17" s="76"/>
      <c r="K17" s="61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 ht="50.15" customHeight="1" x14ac:dyDescent="0.25">
      <c r="A18" s="109">
        <v>14</v>
      </c>
      <c r="B18" s="161"/>
      <c r="C18" s="64"/>
      <c r="D18" s="65"/>
      <c r="E18" s="157"/>
      <c r="F18" s="157"/>
      <c r="G18" s="161"/>
      <c r="H18" s="59"/>
      <c r="I18" s="60"/>
      <c r="J18" s="76"/>
      <c r="K18" s="61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 spans="1:34" ht="50.15" customHeight="1" x14ac:dyDescent="0.25">
      <c r="A19" s="109">
        <v>15</v>
      </c>
      <c r="B19" s="168"/>
      <c r="C19" s="64"/>
      <c r="D19" s="65"/>
      <c r="E19" s="157"/>
      <c r="F19" s="157"/>
      <c r="G19" s="161"/>
      <c r="H19" s="59"/>
      <c r="I19" s="60"/>
      <c r="J19" s="76"/>
      <c r="K19" s="61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</row>
    <row r="20" spans="1:34" ht="50.15" customHeight="1" x14ac:dyDescent="0.25">
      <c r="A20" s="109">
        <v>16</v>
      </c>
      <c r="B20" s="168"/>
      <c r="C20" s="64"/>
      <c r="D20" s="65"/>
      <c r="E20" s="157"/>
      <c r="F20" s="157"/>
      <c r="G20" s="161"/>
      <c r="H20" s="59"/>
      <c r="I20" s="60"/>
      <c r="J20" s="76"/>
      <c r="K20" s="6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 spans="1:34" ht="50.15" customHeight="1" x14ac:dyDescent="0.25">
      <c r="A21" s="109">
        <v>17</v>
      </c>
      <c r="B21" s="168"/>
      <c r="C21" s="64"/>
      <c r="D21" s="65"/>
      <c r="E21" s="157"/>
      <c r="F21" s="157"/>
      <c r="G21" s="161"/>
      <c r="H21" s="59"/>
      <c r="I21" s="60"/>
      <c r="J21" s="76"/>
      <c r="K21" s="61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 ht="50.15" customHeight="1" x14ac:dyDescent="0.25">
      <c r="A22" s="109">
        <v>18</v>
      </c>
      <c r="B22" s="168"/>
      <c r="C22" s="64"/>
      <c r="D22" s="65"/>
      <c r="E22" s="157"/>
      <c r="F22" s="157"/>
      <c r="G22" s="161"/>
      <c r="H22" s="59"/>
      <c r="I22" s="60"/>
      <c r="J22" s="76"/>
      <c r="K22" s="61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 ht="50.15" customHeight="1" x14ac:dyDescent="0.25">
      <c r="A23" s="109">
        <v>19</v>
      </c>
      <c r="B23" s="168"/>
      <c r="C23" s="64"/>
      <c r="D23" s="65"/>
      <c r="E23" s="157"/>
      <c r="F23" s="157"/>
      <c r="G23" s="161"/>
      <c r="H23" s="59"/>
      <c r="I23" s="60"/>
      <c r="J23" s="76"/>
      <c r="K23" s="61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</row>
    <row r="24" spans="1:34" ht="50.15" customHeight="1" x14ac:dyDescent="0.25">
      <c r="A24" s="109">
        <v>20</v>
      </c>
      <c r="B24" s="168"/>
      <c r="C24" s="64"/>
      <c r="D24" s="65"/>
      <c r="E24" s="157"/>
      <c r="F24" s="157"/>
      <c r="G24" s="161"/>
      <c r="H24" s="59"/>
      <c r="I24" s="60"/>
      <c r="J24" s="76"/>
      <c r="K24" s="61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 ht="50.15" customHeight="1" x14ac:dyDescent="0.25">
      <c r="A25" s="109">
        <v>21</v>
      </c>
      <c r="B25" s="168"/>
      <c r="C25" s="64"/>
      <c r="D25" s="65"/>
      <c r="E25" s="157"/>
      <c r="F25" s="157"/>
      <c r="G25" s="161"/>
      <c r="H25" s="59"/>
      <c r="I25" s="60"/>
      <c r="J25" s="76"/>
      <c r="K25" s="61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ht="50.15" customHeight="1" x14ac:dyDescent="0.25">
      <c r="A26" s="109">
        <v>22</v>
      </c>
      <c r="B26" s="168"/>
      <c r="C26" s="64"/>
      <c r="D26" s="65"/>
      <c r="E26" s="157"/>
      <c r="F26" s="157"/>
      <c r="G26" s="161"/>
      <c r="H26" s="59"/>
      <c r="I26" s="60"/>
      <c r="J26" s="76"/>
      <c r="K26" s="61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</row>
    <row r="27" spans="1:34" ht="50.15" customHeight="1" x14ac:dyDescent="0.25">
      <c r="A27" s="109">
        <v>23</v>
      </c>
      <c r="B27" s="168"/>
      <c r="C27" s="64"/>
      <c r="D27" s="65"/>
      <c r="E27" s="157"/>
      <c r="F27" s="157"/>
      <c r="G27" s="161"/>
      <c r="H27" s="59"/>
      <c r="I27" s="60"/>
      <c r="J27" s="76"/>
      <c r="K27" s="169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</row>
    <row r="28" spans="1:34" ht="50.15" customHeight="1" x14ac:dyDescent="0.25">
      <c r="A28" s="109">
        <v>24</v>
      </c>
      <c r="B28" s="168"/>
      <c r="C28" s="64"/>
      <c r="D28" s="65"/>
      <c r="E28" s="157"/>
      <c r="F28" s="157"/>
      <c r="G28" s="161"/>
      <c r="H28" s="59"/>
      <c r="I28" s="60"/>
      <c r="J28" s="76"/>
      <c r="K28" s="61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</row>
    <row r="29" spans="1:34" ht="50.15" customHeight="1" x14ac:dyDescent="0.25">
      <c r="A29" s="109">
        <v>25</v>
      </c>
      <c r="B29" s="168"/>
      <c r="C29" s="64"/>
      <c r="D29" s="65"/>
      <c r="E29" s="157"/>
      <c r="F29" s="157"/>
      <c r="G29" s="161"/>
      <c r="H29" s="59"/>
      <c r="I29" s="60"/>
      <c r="J29" s="76"/>
      <c r="K29" s="61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ht="50.15" customHeight="1" x14ac:dyDescent="0.25">
      <c r="A30" s="109">
        <v>26</v>
      </c>
      <c r="B30" s="168"/>
      <c r="C30" s="64"/>
      <c r="D30" s="65"/>
      <c r="E30" s="157"/>
      <c r="F30" s="157"/>
      <c r="G30" s="161"/>
      <c r="H30" s="59"/>
      <c r="I30" s="60"/>
      <c r="J30" s="76"/>
      <c r="K30" s="61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 spans="1:34" ht="50.15" customHeight="1" x14ac:dyDescent="0.25">
      <c r="A31" s="109">
        <v>27</v>
      </c>
      <c r="B31" s="168"/>
      <c r="C31" s="64"/>
      <c r="D31" s="65"/>
      <c r="E31" s="157"/>
      <c r="F31" s="157"/>
      <c r="G31" s="161"/>
      <c r="H31" s="59"/>
      <c r="I31" s="60"/>
      <c r="J31" s="76"/>
      <c r="K31" s="61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 spans="1:34" ht="50.15" customHeight="1" x14ac:dyDescent="0.25">
      <c r="A32" s="109">
        <v>28</v>
      </c>
      <c r="B32" s="168"/>
      <c r="C32" s="64"/>
      <c r="D32" s="65"/>
      <c r="E32" s="157"/>
      <c r="F32" s="157"/>
      <c r="G32" s="161"/>
      <c r="H32" s="59"/>
      <c r="I32" s="60"/>
      <c r="J32" s="76"/>
      <c r="K32" s="61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 spans="1:34" ht="50.15" customHeight="1" x14ac:dyDescent="0.25">
      <c r="A33" s="109">
        <v>29</v>
      </c>
      <c r="B33" s="168"/>
      <c r="C33" s="64"/>
      <c r="D33" s="65"/>
      <c r="E33" s="157"/>
      <c r="F33" s="157"/>
      <c r="G33" s="161"/>
      <c r="H33" s="59"/>
      <c r="I33" s="60"/>
      <c r="J33" s="76"/>
      <c r="K33" s="61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50.15" customHeight="1" x14ac:dyDescent="0.25">
      <c r="A34" s="109">
        <v>30</v>
      </c>
      <c r="B34" s="168"/>
      <c r="C34" s="64"/>
      <c r="D34" s="65"/>
      <c r="E34" s="157"/>
      <c r="F34" s="157"/>
      <c r="G34" s="161"/>
      <c r="H34" s="59"/>
      <c r="I34" s="60"/>
      <c r="J34" s="76"/>
      <c r="K34" s="61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1:34" ht="50.15" customHeight="1" x14ac:dyDescent="0.25">
      <c r="A35" s="109">
        <v>31</v>
      </c>
      <c r="B35" s="168"/>
      <c r="C35" s="64"/>
      <c r="D35" s="65"/>
      <c r="E35" s="157"/>
      <c r="F35" s="157"/>
      <c r="G35" s="161"/>
      <c r="H35" s="59"/>
      <c r="I35" s="60"/>
      <c r="J35" s="76"/>
      <c r="K35" s="61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 ht="50.15" customHeight="1" x14ac:dyDescent="0.25">
      <c r="A36" s="109">
        <v>32</v>
      </c>
      <c r="B36" s="168"/>
      <c r="C36" s="64"/>
      <c r="D36" s="65"/>
      <c r="E36" s="157"/>
      <c r="F36" s="157"/>
      <c r="G36" s="161"/>
      <c r="H36" s="59"/>
      <c r="I36" s="60"/>
      <c r="J36" s="76"/>
      <c r="K36" s="61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1:34" ht="50.15" customHeight="1" x14ac:dyDescent="0.25">
      <c r="A37" s="109">
        <v>33</v>
      </c>
      <c r="B37" s="168"/>
      <c r="C37" s="64"/>
      <c r="D37" s="65"/>
      <c r="E37" s="157"/>
      <c r="F37" s="157"/>
      <c r="G37" s="161"/>
      <c r="H37" s="59"/>
      <c r="I37" s="60"/>
      <c r="J37" s="76"/>
      <c r="K37" s="61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ht="50.15" customHeight="1" x14ac:dyDescent="0.25">
      <c r="A38" s="109">
        <v>34</v>
      </c>
      <c r="B38" s="168"/>
      <c r="C38" s="64"/>
      <c r="D38" s="65"/>
      <c r="E38" s="157"/>
      <c r="F38" s="157"/>
      <c r="G38" s="161"/>
      <c r="H38" s="59"/>
      <c r="I38" s="60"/>
      <c r="J38" s="76"/>
      <c r="K38" s="61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  <row r="39" spans="1:34" ht="50.15" customHeight="1" x14ac:dyDescent="0.25">
      <c r="A39" s="109">
        <v>35</v>
      </c>
      <c r="B39" s="168"/>
      <c r="C39" s="64"/>
      <c r="D39" s="65"/>
      <c r="E39" s="157"/>
      <c r="F39" s="157"/>
      <c r="G39" s="161"/>
      <c r="H39" s="59"/>
      <c r="I39" s="60"/>
      <c r="J39" s="76"/>
      <c r="K39" s="61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 spans="1:34" ht="50.15" customHeight="1" x14ac:dyDescent="0.25">
      <c r="A40" s="109">
        <v>36</v>
      </c>
      <c r="B40" s="168"/>
      <c r="C40" s="64"/>
      <c r="D40" s="65"/>
      <c r="E40" s="157"/>
      <c r="F40" s="157"/>
      <c r="G40" s="161"/>
      <c r="H40" s="59"/>
      <c r="I40" s="60"/>
      <c r="J40" s="76"/>
      <c r="K40" s="61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 spans="1:34" ht="50.15" customHeight="1" x14ac:dyDescent="0.25">
      <c r="A41" s="109">
        <v>37</v>
      </c>
      <c r="B41" s="168"/>
      <c r="C41" s="64"/>
      <c r="D41" s="65"/>
      <c r="E41" s="157"/>
      <c r="F41" s="157"/>
      <c r="G41" s="161"/>
      <c r="H41" s="59"/>
      <c r="I41" s="60"/>
      <c r="J41" s="76"/>
      <c r="K41" s="61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 ht="50.15" customHeight="1" x14ac:dyDescent="0.25">
      <c r="A42" s="109">
        <v>38</v>
      </c>
      <c r="B42"/>
      <c r="C42" s="64"/>
      <c r="D42" s="65"/>
      <c r="E42" s="157"/>
      <c r="F42" s="157"/>
      <c r="G42" s="161"/>
      <c r="H42" s="59"/>
      <c r="I42" s="60"/>
      <c r="J42" s="76"/>
      <c r="K42" s="61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 spans="1:34" ht="50.15" customHeight="1" x14ac:dyDescent="0.25">
      <c r="A43" s="109">
        <v>39</v>
      </c>
      <c r="B43" s="161"/>
      <c r="C43" s="64"/>
      <c r="D43" s="65"/>
      <c r="E43" s="157"/>
      <c r="F43" s="157"/>
      <c r="G43" s="161"/>
      <c r="H43" s="59"/>
      <c r="I43" s="60"/>
      <c r="J43" s="76"/>
      <c r="K43" s="61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</row>
    <row r="44" spans="1:34" ht="50.15" customHeight="1" x14ac:dyDescent="0.25">
      <c r="A44" s="109">
        <v>40</v>
      </c>
      <c r="B44" s="161"/>
      <c r="C44" s="64"/>
      <c r="D44" s="65"/>
      <c r="E44" s="157"/>
      <c r="F44" s="157"/>
      <c r="G44" s="161"/>
      <c r="H44" s="59"/>
      <c r="I44" s="60"/>
      <c r="J44" s="76"/>
      <c r="K44" s="61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 spans="1:34" ht="50.15" customHeight="1" x14ac:dyDescent="0.25">
      <c r="A45" s="109">
        <v>41</v>
      </c>
      <c r="B45" s="161"/>
      <c r="C45" s="64"/>
      <c r="D45" s="65"/>
      <c r="E45" s="157"/>
      <c r="F45" s="157"/>
      <c r="G45" s="161"/>
      <c r="H45" s="59"/>
      <c r="I45" s="60"/>
      <c r="J45" s="76"/>
      <c r="K45" s="61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50.15" customHeight="1" x14ac:dyDescent="0.25">
      <c r="A46" s="109">
        <v>42</v>
      </c>
      <c r="B46" s="161"/>
      <c r="C46" s="64"/>
      <c r="D46" s="65"/>
      <c r="E46" s="157"/>
      <c r="F46" s="157"/>
      <c r="G46" s="161"/>
      <c r="H46" s="59"/>
      <c r="I46" s="60"/>
      <c r="J46" s="76"/>
      <c r="K46" s="61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 spans="1:34" ht="50.15" customHeight="1" x14ac:dyDescent="0.25">
      <c r="A47" s="109">
        <v>43</v>
      </c>
      <c r="B47" s="161"/>
      <c r="C47" s="64"/>
      <c r="D47" s="65"/>
      <c r="E47" s="157"/>
      <c r="F47" s="157"/>
      <c r="G47" s="161"/>
      <c r="H47" s="59"/>
      <c r="I47" s="60"/>
      <c r="J47" s="76"/>
      <c r="K47" s="61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</row>
    <row r="48" spans="1:34" ht="50.15" customHeight="1" x14ac:dyDescent="0.25">
      <c r="A48" s="109">
        <v>44</v>
      </c>
      <c r="B48" s="161"/>
      <c r="C48" s="64"/>
      <c r="D48" s="65"/>
      <c r="E48" s="157"/>
      <c r="F48" s="157"/>
      <c r="G48" s="161"/>
      <c r="H48" s="59"/>
      <c r="I48" s="60"/>
      <c r="J48" s="76"/>
      <c r="K48" s="61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spans="1:34" ht="50.15" customHeight="1" x14ac:dyDescent="0.25">
      <c r="A49" s="109">
        <v>45</v>
      </c>
      <c r="B49" s="161"/>
      <c r="C49" s="64"/>
      <c r="D49" s="65"/>
      <c r="E49" s="157"/>
      <c r="F49" s="157"/>
      <c r="G49" s="161"/>
      <c r="H49" s="59"/>
      <c r="I49" s="60"/>
      <c r="J49" s="76"/>
      <c r="K49" s="61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1:34" ht="50.15" customHeight="1" x14ac:dyDescent="0.25">
      <c r="A50" s="109">
        <v>46</v>
      </c>
      <c r="B50" s="161"/>
      <c r="C50" s="64"/>
      <c r="D50" s="65"/>
      <c r="E50" s="157"/>
      <c r="F50" s="157"/>
      <c r="G50" s="161"/>
      <c r="H50" s="59"/>
      <c r="I50" s="60"/>
      <c r="J50" s="76"/>
      <c r="K50" s="61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spans="1:34" ht="50.15" customHeight="1" x14ac:dyDescent="0.25">
      <c r="A51" s="109">
        <v>47</v>
      </c>
      <c r="B51" s="161"/>
      <c r="C51" s="64"/>
      <c r="D51" s="65"/>
      <c r="E51" s="157"/>
      <c r="F51" s="157"/>
      <c r="G51" s="161"/>
      <c r="H51" s="59"/>
      <c r="I51" s="60"/>
      <c r="J51" s="76"/>
      <c r="K51" s="61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spans="1:34" ht="50.15" customHeight="1" x14ac:dyDescent="0.25">
      <c r="A52" s="109">
        <v>48</v>
      </c>
      <c r="B52" s="161"/>
      <c r="C52" s="64"/>
      <c r="D52" s="65"/>
      <c r="E52" s="157"/>
      <c r="F52" s="157"/>
      <c r="G52" s="161"/>
      <c r="H52" s="59"/>
      <c r="I52" s="60"/>
      <c r="J52" s="76"/>
      <c r="K52" s="61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spans="1:34" ht="50.15" customHeight="1" x14ac:dyDescent="0.25">
      <c r="A53" s="109">
        <v>49</v>
      </c>
      <c r="B53" s="161"/>
      <c r="C53" s="64"/>
      <c r="D53" s="65"/>
      <c r="E53" s="157"/>
      <c r="F53" s="157"/>
      <c r="G53" s="161"/>
      <c r="H53" s="59"/>
      <c r="I53" s="60"/>
      <c r="J53" s="76"/>
      <c r="K53" s="61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1:34" ht="50.15" customHeight="1" x14ac:dyDescent="0.25">
      <c r="A54" s="109">
        <v>50</v>
      </c>
      <c r="B54" s="161"/>
      <c r="C54" s="64"/>
      <c r="D54" s="65"/>
      <c r="E54" s="157"/>
      <c r="F54" s="157"/>
      <c r="G54" s="161"/>
      <c r="H54" s="59"/>
      <c r="I54" s="60"/>
      <c r="J54" s="76"/>
      <c r="K54" s="61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spans="1:34" ht="50.15" customHeight="1" x14ac:dyDescent="0.25">
      <c r="A55" s="109">
        <v>51</v>
      </c>
      <c r="B55" s="161"/>
      <c r="C55" s="64"/>
      <c r="D55" s="65"/>
      <c r="E55" s="157"/>
      <c r="F55" s="157"/>
      <c r="G55" s="161"/>
      <c r="H55" s="59"/>
      <c r="I55" s="60"/>
      <c r="J55" s="76"/>
      <c r="K55" s="61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spans="1:34" ht="50.15" customHeight="1" x14ac:dyDescent="0.25">
      <c r="A56" s="109">
        <v>52</v>
      </c>
      <c r="B56" s="161"/>
      <c r="C56" s="64"/>
      <c r="D56" s="65"/>
      <c r="E56" s="157"/>
      <c r="F56" s="157"/>
      <c r="G56" s="161"/>
      <c r="H56" s="59"/>
      <c r="I56" s="60"/>
      <c r="J56" s="76"/>
      <c r="K56" s="61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spans="1:34" ht="50.15" customHeight="1" x14ac:dyDescent="0.25">
      <c r="A57" s="109">
        <v>53</v>
      </c>
      <c r="B57" s="161"/>
      <c r="C57" s="64"/>
      <c r="D57" s="65"/>
      <c r="E57" s="157"/>
      <c r="F57" s="157"/>
      <c r="G57" s="161"/>
      <c r="H57" s="59"/>
      <c r="I57" s="60"/>
      <c r="J57" s="76"/>
      <c r="K57" s="61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1:34" ht="50.15" customHeight="1" x14ac:dyDescent="0.25">
      <c r="A58" s="109">
        <v>54</v>
      </c>
      <c r="B58" s="161"/>
      <c r="C58" s="64"/>
      <c r="D58" s="65"/>
      <c r="E58" s="157"/>
      <c r="F58" s="157"/>
      <c r="G58" s="161"/>
      <c r="H58" s="59"/>
      <c r="I58" s="60"/>
      <c r="J58" s="76"/>
      <c r="K58" s="61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spans="1:34" ht="50.15" customHeight="1" x14ac:dyDescent="0.25">
      <c r="A59" s="109">
        <v>55</v>
      </c>
      <c r="B59" s="161"/>
      <c r="C59" s="64"/>
      <c r="D59" s="65"/>
      <c r="E59" s="157"/>
      <c r="F59" s="157"/>
      <c r="G59" s="161"/>
      <c r="H59" s="59"/>
      <c r="I59" s="60"/>
      <c r="J59" s="76"/>
      <c r="K59" s="61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spans="1:34" ht="50.15" customHeight="1" x14ac:dyDescent="0.25">
      <c r="A60" s="109">
        <v>56</v>
      </c>
      <c r="B60" s="161"/>
      <c r="C60" s="64"/>
      <c r="D60" s="65"/>
      <c r="E60" s="157"/>
      <c r="F60" s="157"/>
      <c r="G60" s="161"/>
      <c r="H60" s="59"/>
      <c r="I60" s="60"/>
      <c r="J60" s="76"/>
      <c r="K60" s="61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spans="1:34" ht="50.15" customHeight="1" x14ac:dyDescent="0.25">
      <c r="A61" s="109">
        <v>57</v>
      </c>
      <c r="B61" s="161"/>
      <c r="C61" s="64"/>
      <c r="D61" s="65"/>
      <c r="E61" s="157"/>
      <c r="F61" s="157"/>
      <c r="G61" s="161"/>
      <c r="H61" s="59"/>
      <c r="I61" s="60"/>
      <c r="J61" s="76"/>
      <c r="K61" s="61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1:34" ht="50.15" customHeight="1" x14ac:dyDescent="0.25">
      <c r="A62" s="109">
        <v>58</v>
      </c>
      <c r="B62" s="161"/>
      <c r="C62" s="64"/>
      <c r="D62" s="65"/>
      <c r="E62" s="157"/>
      <c r="F62" s="157"/>
      <c r="G62" s="161"/>
      <c r="H62" s="59"/>
      <c r="I62" s="60"/>
      <c r="J62" s="76"/>
      <c r="K62" s="61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spans="1:34" ht="50.15" customHeight="1" x14ac:dyDescent="0.25">
      <c r="A63" s="109">
        <v>59</v>
      </c>
      <c r="B63" s="161"/>
      <c r="C63" s="64"/>
      <c r="D63" s="65"/>
      <c r="E63" s="157"/>
      <c r="F63" s="157"/>
      <c r="G63" s="161"/>
      <c r="H63" s="59"/>
      <c r="I63" s="60"/>
      <c r="J63" s="76"/>
      <c r="K63" s="61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spans="1:34" ht="50.15" customHeight="1" x14ac:dyDescent="0.25">
      <c r="A64" s="109">
        <v>60</v>
      </c>
      <c r="B64" s="161"/>
      <c r="C64" s="64"/>
      <c r="D64" s="65"/>
      <c r="E64" s="157"/>
      <c r="F64" s="157"/>
      <c r="G64" s="161"/>
      <c r="H64" s="59"/>
      <c r="I64" s="60"/>
      <c r="J64" s="76"/>
      <c r="K64" s="61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spans="1:34" ht="50.15" customHeight="1" x14ac:dyDescent="0.25">
      <c r="A65" s="109">
        <v>61</v>
      </c>
      <c r="B65" s="161"/>
      <c r="C65" s="64"/>
      <c r="D65" s="65"/>
      <c r="E65" s="157"/>
      <c r="F65" s="157"/>
      <c r="G65" s="161"/>
      <c r="H65" s="59"/>
      <c r="I65" s="60"/>
      <c r="J65" s="76"/>
      <c r="K65" s="61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1:34" ht="50.15" customHeight="1" x14ac:dyDescent="0.25">
      <c r="A66" s="109">
        <v>62</v>
      </c>
      <c r="B66" s="161"/>
      <c r="C66" s="64"/>
      <c r="D66" s="65"/>
      <c r="E66" s="157"/>
      <c r="F66" s="157"/>
      <c r="G66" s="161"/>
      <c r="H66" s="59"/>
      <c r="I66" s="60"/>
      <c r="J66" s="76"/>
      <c r="K66" s="61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spans="1:34" ht="50.15" customHeight="1" x14ac:dyDescent="0.25">
      <c r="A67" s="109">
        <v>63</v>
      </c>
      <c r="B67" s="161"/>
      <c r="C67" s="64"/>
      <c r="D67" s="65"/>
      <c r="E67" s="157"/>
      <c r="F67" s="157"/>
      <c r="G67" s="161"/>
      <c r="H67" s="59"/>
      <c r="I67" s="60"/>
      <c r="J67" s="76"/>
      <c r="K67" s="61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spans="1:34" ht="50.15" customHeight="1" x14ac:dyDescent="0.25">
      <c r="A68" s="109">
        <v>64</v>
      </c>
      <c r="B68" s="161"/>
      <c r="C68" s="64"/>
      <c r="D68" s="65"/>
      <c r="E68" s="157"/>
      <c r="F68" s="157"/>
      <c r="G68" s="161"/>
      <c r="H68" s="59"/>
      <c r="I68" s="60"/>
      <c r="J68" s="76"/>
      <c r="K68" s="61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spans="1:34" ht="50.15" customHeight="1" x14ac:dyDescent="0.25">
      <c r="A69" s="109">
        <v>65</v>
      </c>
      <c r="B69" s="161"/>
      <c r="C69" s="64"/>
      <c r="D69" s="65"/>
      <c r="E69" s="157"/>
      <c r="F69" s="157"/>
      <c r="G69" s="161"/>
      <c r="H69" s="59"/>
      <c r="I69" s="60"/>
      <c r="J69" s="76"/>
      <c r="K69" s="61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 ht="50.15" customHeight="1" x14ac:dyDescent="0.25">
      <c r="A70" s="109">
        <v>66</v>
      </c>
      <c r="B70" s="161"/>
      <c r="C70" s="64"/>
      <c r="D70" s="65"/>
      <c r="E70" s="157"/>
      <c r="F70" s="157"/>
      <c r="G70" s="161"/>
      <c r="H70" s="59"/>
      <c r="I70" s="60"/>
      <c r="J70" s="76"/>
      <c r="K70" s="61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spans="1:34" ht="50.15" customHeight="1" x14ac:dyDescent="0.25">
      <c r="A71" s="109">
        <v>67</v>
      </c>
      <c r="B71" s="161"/>
      <c r="C71" s="64"/>
      <c r="D71" s="65"/>
      <c r="E71" s="157"/>
      <c r="F71" s="157"/>
      <c r="G71" s="161"/>
      <c r="H71" s="59"/>
      <c r="I71" s="60"/>
      <c r="J71" s="76"/>
      <c r="K71" s="61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spans="1:34" ht="50.15" customHeight="1" x14ac:dyDescent="0.25">
      <c r="A72" s="109">
        <v>68</v>
      </c>
      <c r="B72" s="161"/>
      <c r="C72" s="64"/>
      <c r="D72" s="65"/>
      <c r="E72" s="157"/>
      <c r="F72" s="157"/>
      <c r="G72" s="161"/>
      <c r="H72" s="59"/>
      <c r="I72" s="60"/>
      <c r="J72" s="76"/>
      <c r="K72" s="61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spans="1:34" ht="50.15" customHeight="1" x14ac:dyDescent="0.25">
      <c r="A73" s="109">
        <v>69</v>
      </c>
      <c r="B73" s="161"/>
      <c r="C73" s="64"/>
      <c r="D73" s="65"/>
      <c r="E73" s="157"/>
      <c r="F73" s="157"/>
      <c r="G73" s="161"/>
      <c r="H73" s="59"/>
      <c r="I73" s="60"/>
      <c r="J73" s="76"/>
      <c r="K73" s="61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1:34" ht="50.15" customHeight="1" x14ac:dyDescent="0.25">
      <c r="A74" s="109">
        <v>70</v>
      </c>
      <c r="B74" s="161"/>
      <c r="C74" s="64"/>
      <c r="D74" s="65"/>
      <c r="E74" s="157"/>
      <c r="F74" s="157"/>
      <c r="G74" s="161"/>
      <c r="H74" s="59"/>
      <c r="I74" s="60"/>
      <c r="J74" s="76"/>
      <c r="K74" s="61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spans="1:34" ht="50.15" customHeight="1" x14ac:dyDescent="0.25">
      <c r="A75" s="109">
        <v>71</v>
      </c>
      <c r="B75" s="161"/>
      <c r="C75" s="64"/>
      <c r="D75" s="65"/>
      <c r="E75" s="157"/>
      <c r="F75" s="157"/>
      <c r="G75" s="161"/>
      <c r="H75" s="59"/>
      <c r="I75" s="60"/>
      <c r="J75" s="76"/>
      <c r="K75" s="61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 spans="1:34" ht="50.15" customHeight="1" x14ac:dyDescent="0.25">
      <c r="A76" s="109">
        <v>72</v>
      </c>
      <c r="B76" s="161"/>
      <c r="C76" s="64"/>
      <c r="D76" s="65"/>
      <c r="E76" s="157"/>
      <c r="F76" s="157"/>
      <c r="G76" s="161"/>
      <c r="H76" s="59"/>
      <c r="I76" s="60"/>
      <c r="J76" s="76"/>
      <c r="K76" s="61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 spans="1:34" ht="50.15" customHeight="1" x14ac:dyDescent="0.25">
      <c r="A77" s="109">
        <v>73</v>
      </c>
      <c r="B77" s="161"/>
      <c r="C77" s="64"/>
      <c r="D77" s="65"/>
      <c r="E77" s="157"/>
      <c r="F77" s="157"/>
      <c r="G77" s="161"/>
      <c r="H77" s="59"/>
      <c r="I77" s="60"/>
      <c r="J77" s="76"/>
      <c r="K77" s="61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 spans="1:34" ht="50.15" customHeight="1" x14ac:dyDescent="0.25">
      <c r="A78" s="109">
        <v>74</v>
      </c>
      <c r="B78" s="161"/>
      <c r="C78" s="64"/>
      <c r="D78" s="65"/>
      <c r="E78" s="157"/>
      <c r="F78" s="157"/>
      <c r="G78" s="161"/>
      <c r="H78" s="59"/>
      <c r="I78" s="60"/>
      <c r="J78" s="76"/>
      <c r="K78" s="61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spans="1:34" ht="50.15" customHeight="1" x14ac:dyDescent="0.25">
      <c r="A79" s="109">
        <v>75</v>
      </c>
      <c r="B79" s="161"/>
      <c r="C79" s="64"/>
      <c r="D79" s="65"/>
      <c r="E79" s="157"/>
      <c r="F79" s="157"/>
      <c r="G79" s="161"/>
      <c r="H79" s="59"/>
      <c r="I79" s="60"/>
      <c r="J79" s="76"/>
      <c r="K79" s="61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spans="1:34" ht="50.15" customHeight="1" x14ac:dyDescent="0.25">
      <c r="A80" s="109">
        <v>76</v>
      </c>
      <c r="B80" s="161"/>
      <c r="C80" s="64"/>
      <c r="D80" s="65"/>
      <c r="E80" s="157"/>
      <c r="F80" s="157"/>
      <c r="G80" s="161"/>
      <c r="H80" s="59"/>
      <c r="I80" s="60"/>
      <c r="J80" s="76"/>
      <c r="K80" s="61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spans="1:34" ht="50.15" customHeight="1" x14ac:dyDescent="0.25">
      <c r="A81" s="109">
        <v>77</v>
      </c>
      <c r="B81" s="161"/>
      <c r="C81" s="64"/>
      <c r="D81" s="65"/>
      <c r="E81" s="157"/>
      <c r="F81" s="157"/>
      <c r="G81" s="161"/>
      <c r="H81" s="59"/>
      <c r="I81" s="60"/>
      <c r="J81" s="76"/>
      <c r="K81" s="61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spans="1:34" ht="50.15" customHeight="1" x14ac:dyDescent="0.25">
      <c r="A82" s="109">
        <v>78</v>
      </c>
      <c r="B82" s="161"/>
      <c r="C82" s="64"/>
      <c r="D82" s="65"/>
      <c r="E82" s="157"/>
      <c r="F82" s="157"/>
      <c r="G82" s="161"/>
      <c r="H82" s="59"/>
      <c r="I82" s="60"/>
      <c r="J82" s="76"/>
      <c r="K82" s="61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</row>
    <row r="83" spans="1:34" ht="50.15" customHeight="1" x14ac:dyDescent="0.25">
      <c r="A83" s="109">
        <v>79</v>
      </c>
      <c r="B83" s="161"/>
      <c r="C83" s="64"/>
      <c r="D83" s="65"/>
      <c r="E83" s="157"/>
      <c r="F83" s="157"/>
      <c r="G83" s="161"/>
      <c r="H83" s="59"/>
      <c r="I83" s="60"/>
      <c r="J83" s="76"/>
      <c r="K83" s="61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</row>
    <row r="84" spans="1:34" ht="50.15" customHeight="1" x14ac:dyDescent="0.25">
      <c r="A84" s="109">
        <v>80</v>
      </c>
      <c r="B84" s="161"/>
      <c r="C84" s="64"/>
      <c r="D84" s="65"/>
      <c r="E84" s="157"/>
      <c r="F84" s="157"/>
      <c r="G84" s="161"/>
      <c r="H84" s="59"/>
      <c r="I84" s="60"/>
      <c r="J84" s="76"/>
      <c r="K84" s="61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</row>
    <row r="85" spans="1:34" ht="50.15" customHeight="1" x14ac:dyDescent="0.25">
      <c r="A85" s="109">
        <v>81</v>
      </c>
      <c r="B85" s="161"/>
      <c r="C85" s="64"/>
      <c r="D85" s="65"/>
      <c r="E85" s="157"/>
      <c r="F85" s="157"/>
      <c r="G85" s="161"/>
      <c r="H85" s="59"/>
      <c r="I85" s="60"/>
      <c r="J85" s="76"/>
      <c r="K85" s="61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</row>
    <row r="86" spans="1:34" ht="50.15" customHeight="1" x14ac:dyDescent="0.25">
      <c r="A86" s="109">
        <v>82</v>
      </c>
      <c r="B86" s="161"/>
      <c r="C86" s="64"/>
      <c r="D86" s="65"/>
      <c r="E86" s="157"/>
      <c r="F86" s="157"/>
      <c r="G86" s="161"/>
      <c r="H86" s="59"/>
      <c r="I86" s="60"/>
      <c r="J86" s="76"/>
      <c r="K86" s="61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</row>
    <row r="87" spans="1:34" ht="50.15" customHeight="1" x14ac:dyDescent="0.25">
      <c r="A87" s="109">
        <v>83</v>
      </c>
      <c r="B87" s="161"/>
      <c r="C87" s="64"/>
      <c r="D87" s="65"/>
      <c r="E87" s="157"/>
      <c r="F87" s="157"/>
      <c r="G87" s="161"/>
      <c r="H87" s="59"/>
      <c r="I87" s="60"/>
      <c r="J87" s="76"/>
      <c r="K87" s="61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</row>
    <row r="88" spans="1:34" ht="50.15" customHeight="1" x14ac:dyDescent="0.25">
      <c r="A88" s="109">
        <v>84</v>
      </c>
      <c r="B88" s="161"/>
      <c r="C88" s="64"/>
      <c r="D88" s="65"/>
      <c r="E88" s="157"/>
      <c r="F88" s="157"/>
      <c r="G88" s="161"/>
      <c r="H88" s="59"/>
      <c r="I88" s="60"/>
      <c r="J88" s="76"/>
      <c r="K88" s="61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</row>
    <row r="89" spans="1:34" ht="50.15" customHeight="1" x14ac:dyDescent="0.25">
      <c r="A89" s="109">
        <v>85</v>
      </c>
      <c r="B89" s="161"/>
      <c r="C89" s="64"/>
      <c r="D89" s="65"/>
      <c r="E89" s="157"/>
      <c r="F89" s="157"/>
      <c r="G89" s="161"/>
      <c r="H89" s="59"/>
      <c r="I89" s="60"/>
      <c r="J89" s="76"/>
      <c r="K89" s="61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spans="1:34" ht="50.15" customHeight="1" x14ac:dyDescent="0.25">
      <c r="A90" s="109">
        <v>86</v>
      </c>
      <c r="B90" s="161"/>
      <c r="C90" s="64"/>
      <c r="D90" s="65"/>
      <c r="E90" s="157"/>
      <c r="F90" s="157"/>
      <c r="G90" s="161"/>
      <c r="H90" s="59"/>
      <c r="I90" s="60"/>
      <c r="J90" s="76"/>
      <c r="K90" s="61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</row>
    <row r="91" spans="1:34" ht="50.15" customHeight="1" x14ac:dyDescent="0.25">
      <c r="A91" s="109">
        <v>87</v>
      </c>
      <c r="B91" s="161"/>
      <c r="C91" s="64"/>
      <c r="D91" s="65"/>
      <c r="E91" s="157"/>
      <c r="F91" s="157"/>
      <c r="G91" s="161"/>
      <c r="H91" s="59"/>
      <c r="I91" s="60"/>
      <c r="J91" s="76"/>
      <c r="K91" s="61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</row>
    <row r="92" spans="1:34" ht="50.15" customHeight="1" x14ac:dyDescent="0.25">
      <c r="A92" s="109">
        <v>88</v>
      </c>
      <c r="B92" s="161"/>
      <c r="C92" s="64"/>
      <c r="D92" s="65"/>
      <c r="E92" s="157"/>
      <c r="F92" s="157"/>
      <c r="G92" s="161"/>
      <c r="H92" s="59"/>
      <c r="I92" s="60"/>
      <c r="J92" s="76"/>
      <c r="K92" s="61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</row>
    <row r="93" spans="1:34" ht="50.15" customHeight="1" x14ac:dyDescent="0.25">
      <c r="A93" s="109">
        <v>89</v>
      </c>
      <c r="B93" s="161"/>
      <c r="C93" s="64"/>
      <c r="D93" s="65"/>
      <c r="E93" s="157"/>
      <c r="F93" s="157"/>
      <c r="G93" s="161"/>
      <c r="H93" s="59"/>
      <c r="I93" s="60"/>
      <c r="J93" s="76"/>
      <c r="K93" s="61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</row>
    <row r="94" spans="1:34" ht="50.15" customHeight="1" x14ac:dyDescent="0.25">
      <c r="A94" s="109">
        <v>90</v>
      </c>
      <c r="B94" s="161"/>
      <c r="C94" s="64"/>
      <c r="D94" s="65"/>
      <c r="E94" s="157"/>
      <c r="F94" s="157"/>
      <c r="G94" s="161"/>
      <c r="H94" s="59"/>
      <c r="I94" s="60"/>
      <c r="J94" s="76"/>
      <c r="K94" s="61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</row>
    <row r="95" spans="1:34" ht="50.15" customHeight="1" x14ac:dyDescent="0.25">
      <c r="A95" s="109">
        <v>91</v>
      </c>
      <c r="B95" s="161"/>
      <c r="C95" s="64"/>
      <c r="D95" s="65"/>
      <c r="E95" s="157"/>
      <c r="F95" s="157"/>
      <c r="G95" s="161"/>
      <c r="H95" s="59"/>
      <c r="I95" s="60"/>
      <c r="J95" s="76"/>
      <c r="K95" s="61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</row>
    <row r="96" spans="1:34" ht="50.15" customHeight="1" x14ac:dyDescent="0.25">
      <c r="A96" s="109">
        <v>92</v>
      </c>
      <c r="B96" s="161"/>
      <c r="C96" s="64"/>
      <c r="D96" s="65"/>
      <c r="E96" s="157"/>
      <c r="F96" s="157"/>
      <c r="G96" s="161"/>
      <c r="H96" s="59"/>
      <c r="I96" s="60"/>
      <c r="J96" s="76"/>
      <c r="K96" s="61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</row>
    <row r="97" spans="1:34" ht="50.15" customHeight="1" x14ac:dyDescent="0.25">
      <c r="A97" s="109">
        <v>93</v>
      </c>
      <c r="B97" s="161"/>
      <c r="C97" s="64"/>
      <c r="D97" s="65"/>
      <c r="E97" s="157"/>
      <c r="F97" s="157"/>
      <c r="G97" s="161"/>
      <c r="H97" s="59"/>
      <c r="I97" s="60"/>
      <c r="J97" s="76"/>
      <c r="K97" s="61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</row>
    <row r="98" spans="1:34" ht="50.15" customHeight="1" x14ac:dyDescent="0.25">
      <c r="A98" s="109">
        <v>94</v>
      </c>
      <c r="B98" s="161"/>
      <c r="C98" s="64"/>
      <c r="D98" s="65"/>
      <c r="E98" s="157"/>
      <c r="F98" s="157"/>
      <c r="G98" s="161"/>
      <c r="H98" s="59"/>
      <c r="I98" s="60"/>
      <c r="J98" s="76"/>
      <c r="K98" s="61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</row>
    <row r="99" spans="1:34" ht="50.15" customHeight="1" x14ac:dyDescent="0.25">
      <c r="A99" s="109">
        <v>95</v>
      </c>
      <c r="B99" s="161"/>
      <c r="C99" s="64"/>
      <c r="D99" s="65"/>
      <c r="E99" s="157"/>
      <c r="F99" s="157"/>
      <c r="G99" s="161"/>
      <c r="H99" s="59"/>
      <c r="I99" s="60"/>
      <c r="J99" s="76"/>
      <c r="K99" s="61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</row>
    <row r="100" spans="1:34" ht="50.15" customHeight="1" x14ac:dyDescent="0.25">
      <c r="A100" s="109">
        <v>96</v>
      </c>
      <c r="B100" s="161"/>
      <c r="C100" s="64"/>
      <c r="D100" s="65"/>
      <c r="E100" s="157"/>
      <c r="F100" s="157"/>
      <c r="G100" s="161"/>
      <c r="H100" s="59"/>
      <c r="I100" s="60"/>
      <c r="J100" s="76"/>
      <c r="K100" s="61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</row>
    <row r="101" spans="1:34" ht="50.15" customHeight="1" x14ac:dyDescent="0.25">
      <c r="A101" s="109">
        <v>97</v>
      </c>
      <c r="B101" s="161"/>
      <c r="C101" s="64"/>
      <c r="D101" s="65"/>
      <c r="E101" s="157"/>
      <c r="F101" s="157"/>
      <c r="G101" s="161"/>
      <c r="H101" s="59"/>
      <c r="I101" s="60"/>
      <c r="J101" s="76"/>
      <c r="K101" s="61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</row>
    <row r="102" spans="1:34" ht="50.15" customHeight="1" x14ac:dyDescent="0.25">
      <c r="A102" s="109">
        <v>98</v>
      </c>
      <c r="B102" s="161"/>
      <c r="C102" s="64"/>
      <c r="D102" s="65"/>
      <c r="E102" s="157"/>
      <c r="F102" s="157"/>
      <c r="G102" s="161"/>
      <c r="H102" s="59"/>
      <c r="I102" s="60"/>
      <c r="J102" s="76"/>
      <c r="K102" s="61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</row>
    <row r="103" spans="1:34" ht="50.15" customHeight="1" x14ac:dyDescent="0.25">
      <c r="A103" s="109">
        <v>99</v>
      </c>
      <c r="B103" s="161"/>
      <c r="C103" s="64"/>
      <c r="D103" s="65"/>
      <c r="E103" s="157"/>
      <c r="F103" s="157"/>
      <c r="G103" s="161"/>
      <c r="H103" s="59"/>
      <c r="I103" s="60"/>
      <c r="J103" s="76"/>
      <c r="K103" s="61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</row>
    <row r="104" spans="1:34" ht="50.15" customHeight="1" x14ac:dyDescent="0.25">
      <c r="A104" s="109">
        <v>100</v>
      </c>
      <c r="B104" s="161"/>
      <c r="C104" s="64"/>
      <c r="D104" s="65"/>
      <c r="E104" s="157"/>
      <c r="F104" s="157"/>
      <c r="G104" s="161"/>
      <c r="H104" s="59"/>
      <c r="I104" s="60"/>
      <c r="J104" s="76"/>
      <c r="K104" s="61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</row>
    <row r="105" spans="1:34" ht="50.15" customHeight="1" x14ac:dyDescent="0.25">
      <c r="A105" s="109">
        <v>101</v>
      </c>
      <c r="B105" s="161"/>
      <c r="C105" s="64"/>
      <c r="D105" s="65"/>
      <c r="E105" s="157"/>
      <c r="F105" s="157"/>
      <c r="G105" s="161"/>
      <c r="H105" s="59"/>
      <c r="I105" s="60"/>
      <c r="J105" s="76"/>
      <c r="K105" s="61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</row>
    <row r="106" spans="1:34" ht="50.15" customHeight="1" x14ac:dyDescent="0.25">
      <c r="A106" s="109">
        <v>102</v>
      </c>
      <c r="B106" s="161"/>
      <c r="C106" s="64"/>
      <c r="D106" s="65"/>
      <c r="E106" s="157"/>
      <c r="F106" s="157"/>
      <c r="G106" s="161"/>
      <c r="H106" s="59"/>
      <c r="I106" s="60"/>
      <c r="J106" s="76"/>
      <c r="K106" s="61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</row>
    <row r="107" spans="1:34" ht="50.15" customHeight="1" x14ac:dyDescent="0.25">
      <c r="A107" s="109">
        <v>103</v>
      </c>
      <c r="B107" s="161"/>
      <c r="C107" s="64"/>
      <c r="D107" s="65"/>
      <c r="E107" s="157"/>
      <c r="F107" s="157"/>
      <c r="G107" s="161"/>
      <c r="H107" s="59"/>
      <c r="I107" s="60"/>
      <c r="J107" s="76"/>
      <c r="K107" s="61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</row>
    <row r="108" spans="1:34" ht="50.15" customHeight="1" x14ac:dyDescent="0.25">
      <c r="A108" s="109">
        <v>104</v>
      </c>
      <c r="B108" s="161"/>
      <c r="C108" s="64"/>
      <c r="D108" s="65"/>
      <c r="E108" s="157"/>
      <c r="F108" s="157"/>
      <c r="G108" s="161"/>
      <c r="H108" s="59"/>
      <c r="I108" s="60"/>
      <c r="J108" s="76"/>
      <c r="K108" s="61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</row>
    <row r="109" spans="1:34" ht="50.15" customHeight="1" x14ac:dyDescent="0.25">
      <c r="A109" s="109">
        <v>105</v>
      </c>
      <c r="B109" s="161"/>
      <c r="C109" s="64"/>
      <c r="D109" s="65"/>
      <c r="E109" s="157"/>
      <c r="F109" s="157"/>
      <c r="G109" s="161"/>
      <c r="H109" s="59"/>
      <c r="I109" s="60"/>
      <c r="J109" s="76"/>
      <c r="K109" s="61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</row>
    <row r="110" spans="1:34" ht="50.15" customHeight="1" x14ac:dyDescent="0.25">
      <c r="A110" s="109">
        <v>106</v>
      </c>
      <c r="B110" s="161"/>
      <c r="C110" s="64"/>
      <c r="D110" s="65"/>
      <c r="E110" s="157"/>
      <c r="F110" s="157"/>
      <c r="G110" s="161"/>
      <c r="H110" s="59"/>
      <c r="I110" s="60"/>
      <c r="J110" s="76"/>
      <c r="K110" s="61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</row>
    <row r="111" spans="1:34" ht="50.15" customHeight="1" x14ac:dyDescent="0.25">
      <c r="A111" s="109">
        <v>107</v>
      </c>
      <c r="B111" s="161"/>
      <c r="C111" s="64"/>
      <c r="D111" s="65"/>
      <c r="E111" s="157"/>
      <c r="F111" s="157"/>
      <c r="G111" s="161"/>
      <c r="H111" s="59"/>
      <c r="I111" s="60"/>
      <c r="J111" s="76"/>
      <c r="K111" s="61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</row>
    <row r="112" spans="1:34" ht="50.15" customHeight="1" x14ac:dyDescent="0.25">
      <c r="A112" s="109">
        <v>108</v>
      </c>
      <c r="B112" s="161"/>
      <c r="C112" s="64"/>
      <c r="D112" s="65"/>
      <c r="E112" s="157"/>
      <c r="F112" s="157"/>
      <c r="G112" s="161"/>
      <c r="H112" s="59"/>
      <c r="I112" s="60"/>
      <c r="J112" s="76"/>
      <c r="K112" s="61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</row>
    <row r="113" spans="1:34" ht="50.15" customHeight="1" x14ac:dyDescent="0.25">
      <c r="A113" s="109">
        <v>109</v>
      </c>
      <c r="B113" s="161"/>
      <c r="C113" s="64"/>
      <c r="D113" s="65"/>
      <c r="E113" s="157"/>
      <c r="F113" s="157"/>
      <c r="G113" s="161"/>
      <c r="H113" s="59"/>
      <c r="I113" s="60"/>
      <c r="J113" s="76"/>
      <c r="K113" s="61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</row>
    <row r="114" spans="1:34" ht="50.15" customHeight="1" x14ac:dyDescent="0.25">
      <c r="A114" s="109">
        <v>110</v>
      </c>
      <c r="B114" s="161"/>
      <c r="C114" s="64"/>
      <c r="D114" s="65"/>
      <c r="E114" s="157"/>
      <c r="F114" s="157"/>
      <c r="G114" s="161"/>
      <c r="H114" s="59"/>
      <c r="I114" s="60"/>
      <c r="J114" s="76"/>
      <c r="K114" s="61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</row>
    <row r="115" spans="1:34" ht="50.15" customHeight="1" x14ac:dyDescent="0.25">
      <c r="A115" s="109">
        <v>111</v>
      </c>
      <c r="B115" s="161"/>
      <c r="C115" s="64"/>
      <c r="D115" s="65"/>
      <c r="E115" s="157"/>
      <c r="F115" s="157"/>
      <c r="G115" s="161"/>
      <c r="H115" s="59"/>
      <c r="I115" s="60"/>
      <c r="J115" s="76"/>
      <c r="K115" s="61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</row>
    <row r="116" spans="1:34" ht="50.15" customHeight="1" x14ac:dyDescent="0.25">
      <c r="A116" s="109">
        <v>112</v>
      </c>
      <c r="B116" s="161"/>
      <c r="C116" s="64"/>
      <c r="D116" s="65"/>
      <c r="E116" s="157"/>
      <c r="F116" s="157"/>
      <c r="G116" s="161"/>
      <c r="H116" s="59"/>
      <c r="I116" s="60"/>
      <c r="J116" s="76"/>
      <c r="K116" s="61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</row>
    <row r="117" spans="1:34" ht="50.15" customHeight="1" x14ac:dyDescent="0.25">
      <c r="A117" s="109">
        <v>113</v>
      </c>
      <c r="B117" s="161"/>
      <c r="C117" s="64"/>
      <c r="D117" s="65"/>
      <c r="E117" s="157"/>
      <c r="F117" s="157"/>
      <c r="G117" s="161"/>
      <c r="H117" s="59"/>
      <c r="I117" s="60"/>
      <c r="J117" s="76"/>
      <c r="K117" s="61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</row>
    <row r="118" spans="1:34" ht="50.15" customHeight="1" x14ac:dyDescent="0.25">
      <c r="A118" s="109">
        <v>114</v>
      </c>
      <c r="B118" s="161"/>
      <c r="C118" s="64"/>
      <c r="D118" s="65"/>
      <c r="E118" s="157"/>
      <c r="F118" s="157"/>
      <c r="G118" s="161"/>
      <c r="H118" s="59"/>
      <c r="I118" s="60"/>
      <c r="J118" s="76"/>
      <c r="K118" s="61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</row>
    <row r="119" spans="1:34" ht="50.15" customHeight="1" x14ac:dyDescent="0.25">
      <c r="A119" s="109">
        <v>115</v>
      </c>
      <c r="B119" s="161"/>
      <c r="C119" s="64"/>
      <c r="D119" s="65"/>
      <c r="E119" s="157"/>
      <c r="F119" s="157"/>
      <c r="G119" s="161"/>
      <c r="H119" s="59"/>
      <c r="I119" s="60"/>
      <c r="J119" s="76"/>
      <c r="K119" s="61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</row>
    <row r="120" spans="1:34" ht="50.15" customHeight="1" x14ac:dyDescent="0.25">
      <c r="A120" s="109">
        <v>116</v>
      </c>
      <c r="B120" s="161"/>
      <c r="C120" s="64"/>
      <c r="D120" s="65"/>
      <c r="E120" s="157"/>
      <c r="F120" s="157"/>
      <c r="G120" s="161"/>
      <c r="H120" s="59"/>
      <c r="I120" s="60"/>
      <c r="J120" s="76"/>
      <c r="K120" s="61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</row>
    <row r="121" spans="1:34" ht="50.15" customHeight="1" x14ac:dyDescent="0.25">
      <c r="A121" s="109">
        <v>117</v>
      </c>
      <c r="B121" s="161"/>
      <c r="C121" s="64"/>
      <c r="D121" s="65"/>
      <c r="E121" s="157"/>
      <c r="F121" s="157"/>
      <c r="G121" s="161"/>
      <c r="H121" s="59"/>
      <c r="I121" s="60"/>
      <c r="J121" s="76"/>
      <c r="K121" s="61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</row>
    <row r="122" spans="1:34" ht="50.15" customHeight="1" x14ac:dyDescent="0.25">
      <c r="A122" s="109">
        <v>118</v>
      </c>
      <c r="B122" s="161"/>
      <c r="C122" s="64"/>
      <c r="D122" s="65"/>
      <c r="E122" s="157"/>
      <c r="F122" s="157"/>
      <c r="G122" s="161"/>
      <c r="H122" s="59"/>
      <c r="I122" s="60"/>
      <c r="J122" s="76"/>
      <c r="K122" s="61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</row>
    <row r="123" spans="1:34" ht="50.15" customHeight="1" x14ac:dyDescent="0.25">
      <c r="A123" s="109">
        <v>119</v>
      </c>
      <c r="B123" s="161"/>
      <c r="C123" s="64"/>
      <c r="D123" s="65"/>
      <c r="E123" s="157"/>
      <c r="F123" s="157"/>
      <c r="G123" s="161"/>
      <c r="H123" s="59"/>
      <c r="I123" s="60"/>
      <c r="J123" s="76"/>
      <c r="K123" s="61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</row>
    <row r="124" spans="1:34" ht="50.15" customHeight="1" x14ac:dyDescent="0.25">
      <c r="A124" s="109">
        <v>120</v>
      </c>
      <c r="B124" s="161"/>
      <c r="C124" s="64"/>
      <c r="D124" s="65"/>
      <c r="E124" s="157"/>
      <c r="F124" s="157"/>
      <c r="G124" s="161"/>
      <c r="H124" s="59"/>
      <c r="I124" s="60"/>
      <c r="J124" s="76"/>
      <c r="K124" s="61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</row>
    <row r="125" spans="1:34" ht="50.15" customHeight="1" x14ac:dyDescent="0.25">
      <c r="A125" s="109">
        <v>121</v>
      </c>
      <c r="B125" s="161"/>
      <c r="C125" s="64"/>
      <c r="D125" s="65"/>
      <c r="E125" s="157"/>
      <c r="F125" s="157"/>
      <c r="G125" s="161"/>
      <c r="H125" s="59"/>
      <c r="I125" s="60"/>
      <c r="J125" s="76"/>
      <c r="K125" s="61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</row>
    <row r="126" spans="1:34" ht="50.15" customHeight="1" x14ac:dyDescent="0.25">
      <c r="A126" s="109">
        <v>122</v>
      </c>
      <c r="B126" s="161"/>
      <c r="C126" s="64"/>
      <c r="D126" s="65"/>
      <c r="E126" s="157"/>
      <c r="F126" s="157"/>
      <c r="G126" s="161"/>
      <c r="H126" s="59"/>
      <c r="I126" s="60"/>
      <c r="J126" s="76"/>
      <c r="K126" s="61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</row>
    <row r="127" spans="1:34" ht="50.15" customHeight="1" x14ac:dyDescent="0.25">
      <c r="A127" s="109">
        <v>123</v>
      </c>
      <c r="B127" s="161"/>
      <c r="C127" s="64"/>
      <c r="D127" s="65"/>
      <c r="E127" s="157"/>
      <c r="F127" s="157"/>
      <c r="G127" s="161"/>
      <c r="H127" s="59"/>
      <c r="I127" s="60"/>
      <c r="J127" s="76"/>
      <c r="K127" s="61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</row>
    <row r="128" spans="1:34" ht="50.15" customHeight="1" x14ac:dyDescent="0.25">
      <c r="A128" s="109">
        <v>124</v>
      </c>
      <c r="B128" s="161"/>
      <c r="C128" s="64"/>
      <c r="D128" s="65"/>
      <c r="E128" s="157"/>
      <c r="F128" s="157"/>
      <c r="G128" s="161"/>
      <c r="H128" s="59"/>
      <c r="I128" s="60"/>
      <c r="J128" s="76"/>
      <c r="K128" s="61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</row>
    <row r="129" spans="1:34" ht="50.15" customHeight="1" x14ac:dyDescent="0.25">
      <c r="A129" s="109">
        <v>125</v>
      </c>
      <c r="B129" s="161"/>
      <c r="C129" s="64"/>
      <c r="D129" s="65"/>
      <c r="E129" s="157"/>
      <c r="F129" s="157"/>
      <c r="G129" s="161"/>
      <c r="H129" s="59"/>
      <c r="I129" s="60"/>
      <c r="J129" s="76"/>
      <c r="K129" s="61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</row>
    <row r="130" spans="1:34" ht="50.15" customHeight="1" x14ac:dyDescent="0.25">
      <c r="A130" s="109">
        <v>126</v>
      </c>
      <c r="B130" s="161"/>
      <c r="C130" s="64"/>
      <c r="D130" s="65"/>
      <c r="E130" s="157"/>
      <c r="F130" s="157"/>
      <c r="G130" s="161"/>
      <c r="H130" s="59"/>
      <c r="I130" s="60"/>
      <c r="J130" s="76"/>
      <c r="K130" s="61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</row>
    <row r="131" spans="1:34" ht="50.15" customHeight="1" x14ac:dyDescent="0.25">
      <c r="A131" s="109">
        <v>127</v>
      </c>
      <c r="B131" s="161"/>
      <c r="C131" s="64"/>
      <c r="D131" s="65"/>
      <c r="E131" s="157"/>
      <c r="F131" s="157"/>
      <c r="G131" s="161"/>
      <c r="H131" s="59"/>
      <c r="I131" s="60"/>
      <c r="J131" s="76"/>
      <c r="K131" s="61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</row>
    <row r="132" spans="1:34" ht="50.15" customHeight="1" x14ac:dyDescent="0.25">
      <c r="A132" s="109">
        <v>128</v>
      </c>
      <c r="B132" s="161"/>
      <c r="C132" s="64"/>
      <c r="D132" s="65"/>
      <c r="E132" s="157"/>
      <c r="F132" s="157"/>
      <c r="G132" s="161"/>
      <c r="H132" s="59"/>
      <c r="I132" s="60"/>
      <c r="J132" s="76"/>
      <c r="K132" s="61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</row>
    <row r="133" spans="1:34" ht="50.15" customHeight="1" x14ac:dyDescent="0.25">
      <c r="A133" s="109">
        <v>129</v>
      </c>
      <c r="B133" s="161"/>
      <c r="C133" s="64"/>
      <c r="D133" s="65"/>
      <c r="E133" s="157"/>
      <c r="F133" s="157"/>
      <c r="G133" s="161"/>
      <c r="H133" s="59"/>
      <c r="I133" s="60"/>
      <c r="J133" s="76"/>
      <c r="K133" s="61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</row>
    <row r="134" spans="1:34" ht="50.15" customHeight="1" x14ac:dyDescent="0.25">
      <c r="A134" s="109">
        <v>130</v>
      </c>
      <c r="B134" s="161"/>
      <c r="C134" s="64"/>
      <c r="D134" s="65"/>
      <c r="E134" s="157"/>
      <c r="F134" s="157"/>
      <c r="G134" s="161"/>
      <c r="H134" s="59"/>
      <c r="I134" s="60"/>
      <c r="J134" s="76"/>
      <c r="K134" s="61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</row>
    <row r="135" spans="1:34" ht="50.15" customHeight="1" x14ac:dyDescent="0.25">
      <c r="A135" s="109">
        <v>131</v>
      </c>
      <c r="B135" s="161"/>
      <c r="C135" s="64"/>
      <c r="D135" s="65"/>
      <c r="E135" s="157"/>
      <c r="F135" s="157"/>
      <c r="G135" s="161"/>
      <c r="H135" s="59"/>
      <c r="I135" s="60"/>
      <c r="J135" s="76"/>
      <c r="K135" s="61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</row>
    <row r="136" spans="1:34" ht="50.15" customHeight="1" x14ac:dyDescent="0.25">
      <c r="A136" s="109">
        <v>132</v>
      </c>
      <c r="B136" s="161"/>
      <c r="C136" s="64"/>
      <c r="D136" s="65"/>
      <c r="E136" s="157"/>
      <c r="F136" s="157"/>
      <c r="G136" s="161"/>
      <c r="H136" s="59"/>
      <c r="I136" s="60"/>
      <c r="J136" s="76"/>
      <c r="K136" s="61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</row>
    <row r="137" spans="1:34" ht="50.15" customHeight="1" x14ac:dyDescent="0.25">
      <c r="A137" s="109">
        <v>133</v>
      </c>
      <c r="B137" s="161"/>
      <c r="C137" s="64"/>
      <c r="D137" s="65"/>
      <c r="E137" s="157"/>
      <c r="F137" s="157"/>
      <c r="G137" s="161"/>
      <c r="H137" s="59"/>
      <c r="I137" s="60"/>
      <c r="J137" s="76"/>
      <c r="K137" s="61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</row>
    <row r="138" spans="1:34" ht="50.15" customHeight="1" x14ac:dyDescent="0.25">
      <c r="A138" s="109">
        <v>134</v>
      </c>
      <c r="B138" s="161"/>
      <c r="C138" s="64"/>
      <c r="D138" s="65"/>
      <c r="E138" s="157"/>
      <c r="F138" s="157"/>
      <c r="G138" s="161"/>
      <c r="H138" s="59"/>
      <c r="I138" s="60"/>
      <c r="J138" s="76"/>
      <c r="K138" s="61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</row>
    <row r="139" spans="1:34" ht="50.15" customHeight="1" x14ac:dyDescent="0.25">
      <c r="A139" s="109">
        <v>135</v>
      </c>
      <c r="B139" s="161"/>
      <c r="C139" s="64"/>
      <c r="D139" s="65"/>
      <c r="E139" s="157"/>
      <c r="F139" s="157"/>
      <c r="G139" s="161"/>
      <c r="H139" s="59"/>
      <c r="I139" s="60"/>
      <c r="J139" s="76"/>
      <c r="K139" s="61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</row>
    <row r="140" spans="1:34" ht="50.15" customHeight="1" x14ac:dyDescent="0.25">
      <c r="A140" s="109">
        <v>136</v>
      </c>
      <c r="B140" s="161"/>
      <c r="C140" s="64"/>
      <c r="D140" s="65"/>
      <c r="E140" s="157"/>
      <c r="F140" s="157"/>
      <c r="G140" s="161"/>
      <c r="H140" s="59"/>
      <c r="I140" s="60"/>
      <c r="J140" s="76"/>
      <c r="K140" s="61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</row>
    <row r="141" spans="1:34" ht="50.15" customHeight="1" x14ac:dyDescent="0.25">
      <c r="A141" s="109">
        <v>137</v>
      </c>
      <c r="B141" s="161"/>
      <c r="C141" s="64"/>
      <c r="D141" s="65"/>
      <c r="E141" s="157"/>
      <c r="F141" s="157"/>
      <c r="G141" s="161"/>
      <c r="H141" s="59"/>
      <c r="I141" s="60"/>
      <c r="J141" s="76"/>
      <c r="K141" s="61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</row>
    <row r="142" spans="1:34" ht="50.15" customHeight="1" x14ac:dyDescent="0.25">
      <c r="A142" s="109">
        <v>138</v>
      </c>
      <c r="B142" s="161"/>
      <c r="C142" s="64"/>
      <c r="D142" s="65"/>
      <c r="E142" s="157"/>
      <c r="F142" s="157"/>
      <c r="G142" s="161"/>
      <c r="H142" s="59"/>
      <c r="I142" s="60"/>
      <c r="J142" s="76"/>
      <c r="K142" s="61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</row>
    <row r="143" spans="1:34" ht="50.15" customHeight="1" x14ac:dyDescent="0.25">
      <c r="A143" s="109">
        <v>139</v>
      </c>
      <c r="B143" s="161"/>
      <c r="C143" s="64"/>
      <c r="D143" s="65"/>
      <c r="E143" s="157"/>
      <c r="F143" s="157"/>
      <c r="G143" s="161"/>
      <c r="H143" s="59"/>
      <c r="I143" s="60"/>
      <c r="J143" s="76"/>
      <c r="K143" s="61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</row>
    <row r="144" spans="1:34" ht="50.15" customHeight="1" x14ac:dyDescent="0.25">
      <c r="A144" s="109">
        <v>140</v>
      </c>
      <c r="B144" s="161"/>
      <c r="C144" s="64"/>
      <c r="D144" s="65"/>
      <c r="E144" s="157"/>
      <c r="F144" s="157"/>
      <c r="G144" s="161"/>
      <c r="H144" s="59"/>
      <c r="I144" s="60"/>
      <c r="J144" s="76"/>
      <c r="K144" s="61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</row>
    <row r="145" spans="1:34" ht="50.15" customHeight="1" x14ac:dyDescent="0.25">
      <c r="A145" s="109">
        <v>141</v>
      </c>
      <c r="B145" s="161"/>
      <c r="C145" s="64"/>
      <c r="D145" s="65"/>
      <c r="E145" s="157"/>
      <c r="F145" s="157"/>
      <c r="G145" s="161"/>
      <c r="H145" s="59"/>
      <c r="I145" s="60"/>
      <c r="J145" s="76"/>
      <c r="K145" s="61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</row>
    <row r="146" spans="1:34" ht="50.15" customHeight="1" x14ac:dyDescent="0.25">
      <c r="A146" s="109">
        <v>142</v>
      </c>
      <c r="B146" s="161"/>
      <c r="C146" s="64"/>
      <c r="D146" s="65"/>
      <c r="E146" s="157"/>
      <c r="F146" s="157"/>
      <c r="G146" s="161"/>
      <c r="H146" s="59"/>
      <c r="I146" s="60"/>
      <c r="J146" s="76"/>
      <c r="K146" s="61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</row>
    <row r="147" spans="1:34" ht="50.15" customHeight="1" x14ac:dyDescent="0.25">
      <c r="A147" s="109">
        <v>143</v>
      </c>
      <c r="B147" s="161"/>
      <c r="C147" s="64"/>
      <c r="D147" s="65"/>
      <c r="E147" s="157"/>
      <c r="F147" s="157"/>
      <c r="G147" s="161"/>
      <c r="H147" s="59"/>
      <c r="I147" s="60"/>
      <c r="J147" s="76"/>
      <c r="K147" s="61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</row>
    <row r="148" spans="1:34" ht="50.15" customHeight="1" x14ac:dyDescent="0.25">
      <c r="A148" s="109">
        <v>144</v>
      </c>
      <c r="B148" s="161"/>
      <c r="C148" s="64"/>
      <c r="D148" s="65"/>
      <c r="E148" s="157"/>
      <c r="F148" s="157"/>
      <c r="G148" s="161"/>
      <c r="H148" s="59"/>
      <c r="I148" s="60"/>
      <c r="J148" s="76"/>
      <c r="K148" s="61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</row>
    <row r="149" spans="1:34" ht="50.15" customHeight="1" x14ac:dyDescent="0.25">
      <c r="A149" s="109">
        <v>145</v>
      </c>
      <c r="B149" s="161"/>
      <c r="C149" s="64"/>
      <c r="D149" s="65"/>
      <c r="E149" s="157"/>
      <c r="F149" s="157"/>
      <c r="G149" s="161"/>
      <c r="H149" s="59"/>
      <c r="I149" s="60"/>
      <c r="J149" s="76"/>
      <c r="K149" s="61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</row>
    <row r="150" spans="1:34" ht="50.15" customHeight="1" x14ac:dyDescent="0.25">
      <c r="A150" s="109">
        <v>146</v>
      </c>
      <c r="B150" s="161"/>
      <c r="C150" s="64"/>
      <c r="D150" s="65"/>
      <c r="E150" s="157"/>
      <c r="F150" s="157"/>
      <c r="G150" s="161"/>
      <c r="H150" s="59"/>
      <c r="I150" s="60"/>
      <c r="J150" s="76"/>
      <c r="K150" s="61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</row>
    <row r="151" spans="1:34" ht="50.15" customHeight="1" x14ac:dyDescent="0.25">
      <c r="A151" s="109">
        <v>147</v>
      </c>
      <c r="B151" s="161"/>
      <c r="C151" s="64"/>
      <c r="D151" s="65"/>
      <c r="E151" s="157"/>
      <c r="F151" s="157"/>
      <c r="G151" s="161"/>
      <c r="H151" s="59"/>
      <c r="I151" s="60"/>
      <c r="J151" s="76"/>
      <c r="K151" s="61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</row>
    <row r="152" spans="1:34" ht="50.15" customHeight="1" x14ac:dyDescent="0.25">
      <c r="A152" s="109">
        <v>148</v>
      </c>
      <c r="B152" s="161"/>
      <c r="C152" s="64"/>
      <c r="D152" s="65"/>
      <c r="E152" s="157"/>
      <c r="F152" s="157"/>
      <c r="G152" s="161"/>
      <c r="H152" s="59"/>
      <c r="I152" s="60"/>
      <c r="J152" s="76"/>
      <c r="K152" s="61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</row>
    <row r="153" spans="1:34" ht="50.15" customHeight="1" x14ac:dyDescent="0.25">
      <c r="A153" s="109">
        <v>149</v>
      </c>
      <c r="B153" s="161"/>
      <c r="C153" s="64"/>
      <c r="D153" s="65"/>
      <c r="E153" s="157"/>
      <c r="F153" s="157"/>
      <c r="G153" s="161"/>
      <c r="H153" s="59"/>
      <c r="I153" s="60"/>
      <c r="J153" s="76"/>
      <c r="K153" s="61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 ht="50.15" customHeight="1" x14ac:dyDescent="0.25">
      <c r="A154" s="109">
        <v>150</v>
      </c>
      <c r="B154" s="161"/>
      <c r="C154" s="64"/>
      <c r="D154" s="65"/>
      <c r="E154" s="157"/>
      <c r="F154" s="157"/>
      <c r="G154" s="161"/>
      <c r="H154" s="59"/>
      <c r="I154" s="60"/>
      <c r="J154" s="76"/>
      <c r="K154" s="61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</row>
    <row r="155" spans="1:34" ht="50.15" customHeight="1" x14ac:dyDescent="0.25">
      <c r="A155" s="109">
        <v>151</v>
      </c>
      <c r="B155" s="161"/>
      <c r="C155" s="64"/>
      <c r="D155" s="65"/>
      <c r="E155" s="157"/>
      <c r="F155" s="157"/>
      <c r="G155" s="161"/>
      <c r="H155" s="59"/>
      <c r="I155" s="60"/>
      <c r="J155" s="76"/>
      <c r="K155" s="61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</row>
    <row r="156" spans="1:34" ht="50.15" customHeight="1" x14ac:dyDescent="0.25">
      <c r="A156" s="109">
        <v>152</v>
      </c>
      <c r="B156" s="161"/>
      <c r="C156" s="64"/>
      <c r="D156" s="65"/>
      <c r="E156" s="157"/>
      <c r="F156" s="157"/>
      <c r="G156" s="161"/>
      <c r="H156" s="59"/>
      <c r="I156" s="60"/>
      <c r="J156" s="76"/>
      <c r="K156" s="61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</row>
    <row r="157" spans="1:34" ht="50.15" customHeight="1" x14ac:dyDescent="0.25">
      <c r="A157" s="109">
        <v>153</v>
      </c>
      <c r="B157" s="161"/>
      <c r="C157" s="64"/>
      <c r="D157" s="65"/>
      <c r="E157" s="157"/>
      <c r="F157" s="157"/>
      <c r="G157" s="161"/>
      <c r="H157" s="59"/>
      <c r="I157" s="60"/>
      <c r="J157" s="76"/>
      <c r="K157" s="61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</row>
    <row r="158" spans="1:34" ht="50.15" customHeight="1" x14ac:dyDescent="0.25">
      <c r="A158" s="109">
        <v>154</v>
      </c>
      <c r="B158" s="161"/>
      <c r="C158" s="64"/>
      <c r="D158" s="65"/>
      <c r="E158" s="157"/>
      <c r="F158" s="157"/>
      <c r="G158" s="161"/>
      <c r="H158" s="59"/>
      <c r="I158" s="60"/>
      <c r="J158" s="76"/>
      <c r="K158" s="61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</row>
    <row r="159" spans="1:34" ht="50.15" customHeight="1" x14ac:dyDescent="0.25">
      <c r="A159" s="109">
        <v>155</v>
      </c>
      <c r="B159" s="161"/>
      <c r="C159" s="64"/>
      <c r="D159" s="65"/>
      <c r="E159" s="157"/>
      <c r="F159" s="157"/>
      <c r="G159" s="161"/>
      <c r="H159" s="59"/>
      <c r="I159" s="60"/>
      <c r="J159" s="76"/>
      <c r="K159" s="61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</row>
    <row r="160" spans="1:34" ht="50.15" customHeight="1" x14ac:dyDescent="0.25">
      <c r="A160" s="109">
        <v>156</v>
      </c>
      <c r="B160" s="161"/>
      <c r="C160" s="64"/>
      <c r="D160" s="65"/>
      <c r="E160" s="157"/>
      <c r="F160" s="157"/>
      <c r="G160" s="161"/>
      <c r="H160" s="59"/>
      <c r="I160" s="60"/>
      <c r="J160" s="76"/>
      <c r="K160" s="61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</row>
    <row r="161" spans="1:34" ht="50.15" customHeight="1" x14ac:dyDescent="0.25">
      <c r="A161" s="109">
        <v>157</v>
      </c>
      <c r="B161" s="161"/>
      <c r="C161" s="64"/>
      <c r="D161" s="65"/>
      <c r="E161" s="157"/>
      <c r="F161" s="157"/>
      <c r="G161" s="161"/>
      <c r="H161" s="59"/>
      <c r="I161" s="60"/>
      <c r="J161" s="76"/>
      <c r="K161" s="61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</row>
    <row r="162" spans="1:34" ht="50.15" customHeight="1" x14ac:dyDescent="0.25">
      <c r="A162" s="109">
        <v>158</v>
      </c>
      <c r="B162" s="161"/>
      <c r="C162" s="64"/>
      <c r="D162" s="65"/>
      <c r="E162" s="157"/>
      <c r="F162" s="157"/>
      <c r="G162" s="161"/>
      <c r="H162" s="59"/>
      <c r="I162" s="60"/>
      <c r="J162" s="76"/>
      <c r="K162" s="61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</row>
    <row r="163" spans="1:34" ht="50.15" customHeight="1" x14ac:dyDescent="0.25">
      <c r="A163" s="109">
        <v>159</v>
      </c>
      <c r="B163" s="161"/>
      <c r="C163" s="64"/>
      <c r="D163" s="65"/>
      <c r="E163" s="157"/>
      <c r="F163" s="157"/>
      <c r="G163" s="161"/>
      <c r="H163" s="59"/>
      <c r="I163" s="60"/>
      <c r="J163" s="76"/>
      <c r="K163" s="61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</row>
    <row r="164" spans="1:34" ht="50.15" customHeight="1" x14ac:dyDescent="0.25">
      <c r="A164" s="109">
        <v>160</v>
      </c>
      <c r="B164" s="161"/>
      <c r="C164" s="64"/>
      <c r="D164" s="65"/>
      <c r="E164" s="157"/>
      <c r="F164" s="157"/>
      <c r="G164" s="161"/>
      <c r="H164" s="59"/>
      <c r="I164" s="60"/>
      <c r="J164" s="76"/>
      <c r="K164" s="61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</row>
    <row r="165" spans="1:34" ht="50.15" customHeight="1" x14ac:dyDescent="0.25">
      <c r="A165" s="109">
        <v>161</v>
      </c>
      <c r="B165" s="161"/>
      <c r="C165" s="64"/>
      <c r="D165" s="65"/>
      <c r="E165" s="157"/>
      <c r="F165" s="157"/>
      <c r="G165" s="161"/>
      <c r="H165" s="59"/>
      <c r="I165" s="60"/>
      <c r="J165" s="76"/>
      <c r="K165" s="61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</row>
    <row r="166" spans="1:34" ht="50.15" customHeight="1" x14ac:dyDescent="0.25">
      <c r="A166" s="109">
        <v>162</v>
      </c>
      <c r="B166" s="161"/>
      <c r="C166" s="64"/>
      <c r="D166" s="65"/>
      <c r="E166" s="157"/>
      <c r="F166" s="157"/>
      <c r="G166" s="161"/>
      <c r="H166" s="59"/>
      <c r="I166" s="60"/>
      <c r="J166" s="76"/>
      <c r="K166" s="61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</row>
    <row r="167" spans="1:34" ht="50.15" customHeight="1" x14ac:dyDescent="0.25">
      <c r="A167" s="109">
        <v>163</v>
      </c>
      <c r="B167" s="161"/>
      <c r="C167" s="64"/>
      <c r="D167" s="65"/>
      <c r="E167" s="157"/>
      <c r="F167" s="157"/>
      <c r="G167" s="161"/>
      <c r="H167" s="59"/>
      <c r="I167" s="60"/>
      <c r="J167" s="76"/>
      <c r="K167" s="61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</row>
    <row r="168" spans="1:34" ht="50.15" customHeight="1" x14ac:dyDescent="0.25">
      <c r="A168" s="109">
        <v>164</v>
      </c>
      <c r="B168" s="161"/>
      <c r="C168" s="64"/>
      <c r="D168" s="65"/>
      <c r="E168" s="157"/>
      <c r="F168" s="157"/>
      <c r="G168" s="161"/>
      <c r="H168" s="59"/>
      <c r="I168" s="60"/>
      <c r="J168" s="76"/>
      <c r="K168" s="61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</row>
    <row r="169" spans="1:34" ht="50.15" customHeight="1" x14ac:dyDescent="0.25">
      <c r="A169" s="109">
        <v>165</v>
      </c>
      <c r="B169" s="161"/>
      <c r="C169" s="64"/>
      <c r="D169" s="65"/>
      <c r="E169" s="157"/>
      <c r="F169" s="157"/>
      <c r="G169" s="161"/>
      <c r="H169" s="59"/>
      <c r="I169" s="60"/>
      <c r="J169" s="76"/>
      <c r="K169" s="61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</row>
    <row r="170" spans="1:34" ht="50.15" customHeight="1" x14ac:dyDescent="0.25">
      <c r="A170" s="109">
        <v>166</v>
      </c>
      <c r="B170" s="161"/>
      <c r="C170" s="64"/>
      <c r="D170" s="65"/>
      <c r="E170" s="157"/>
      <c r="F170" s="157"/>
      <c r="G170" s="161"/>
      <c r="H170" s="59"/>
      <c r="I170" s="60"/>
      <c r="J170" s="76"/>
      <c r="K170" s="61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</row>
    <row r="171" spans="1:34" ht="50.15" customHeight="1" x14ac:dyDescent="0.25">
      <c r="A171" s="109">
        <v>167</v>
      </c>
      <c r="B171" s="161"/>
      <c r="C171" s="64"/>
      <c r="D171" s="65"/>
      <c r="E171" s="157"/>
      <c r="F171" s="157"/>
      <c r="G171" s="161"/>
      <c r="H171" s="59"/>
      <c r="I171" s="60"/>
      <c r="J171" s="76"/>
      <c r="K171" s="61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</row>
    <row r="172" spans="1:34" ht="50.15" customHeight="1" x14ac:dyDescent="0.25">
      <c r="A172" s="109">
        <v>168</v>
      </c>
      <c r="B172" s="58"/>
      <c r="C172" s="64"/>
      <c r="D172" s="65"/>
      <c r="E172" s="157"/>
      <c r="F172" s="157"/>
      <c r="G172" s="66"/>
      <c r="H172" s="59"/>
      <c r="I172" s="60"/>
      <c r="J172" s="76"/>
      <c r="K172" s="61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</row>
    <row r="173" spans="1:34" ht="50.15" customHeight="1" x14ac:dyDescent="0.25">
      <c r="A173" s="109">
        <v>169</v>
      </c>
      <c r="B173" s="58"/>
      <c r="C173" s="64"/>
      <c r="D173" s="65"/>
      <c r="E173" s="157"/>
      <c r="F173" s="157"/>
      <c r="G173" s="66"/>
      <c r="H173" s="59"/>
      <c r="I173" s="60"/>
      <c r="J173" s="76"/>
      <c r="K173" s="61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</row>
    <row r="174" spans="1:34" ht="50.15" customHeight="1" x14ac:dyDescent="0.25">
      <c r="A174" s="109">
        <v>170</v>
      </c>
      <c r="B174" s="58"/>
      <c r="C174" s="64"/>
      <c r="D174" s="65"/>
      <c r="E174" s="157"/>
      <c r="F174" s="157"/>
      <c r="G174" s="66"/>
      <c r="H174" s="59"/>
      <c r="I174" s="60"/>
      <c r="J174" s="76"/>
      <c r="K174" s="61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</row>
    <row r="175" spans="1:34" ht="50.15" customHeight="1" x14ac:dyDescent="0.25">
      <c r="A175" s="109">
        <v>171</v>
      </c>
      <c r="B175" s="58"/>
      <c r="C175" s="64"/>
      <c r="D175" s="65"/>
      <c r="E175" s="157"/>
      <c r="F175" s="157"/>
      <c r="G175" s="66"/>
      <c r="H175" s="59"/>
      <c r="I175" s="60"/>
      <c r="J175" s="76"/>
      <c r="K175" s="61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</row>
    <row r="176" spans="1:34" ht="50.15" customHeight="1" x14ac:dyDescent="0.25">
      <c r="A176" s="109">
        <v>172</v>
      </c>
      <c r="B176" s="58"/>
      <c r="C176" s="64"/>
      <c r="D176" s="65"/>
      <c r="E176" s="157"/>
      <c r="F176" s="157"/>
      <c r="G176" s="66"/>
      <c r="H176" s="59"/>
      <c r="I176" s="60"/>
      <c r="J176" s="76"/>
      <c r="K176" s="61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</row>
    <row r="177" spans="1:34" ht="50.15" customHeight="1" x14ac:dyDescent="0.25">
      <c r="A177" s="109">
        <v>173</v>
      </c>
      <c r="B177" s="58"/>
      <c r="C177" s="64"/>
      <c r="D177" s="65"/>
      <c r="E177" s="157"/>
      <c r="F177" s="157"/>
      <c r="G177" s="66"/>
      <c r="H177" s="59"/>
      <c r="I177" s="60"/>
      <c r="J177" s="76"/>
      <c r="K177" s="61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</row>
    <row r="178" spans="1:34" ht="50.15" customHeight="1" x14ac:dyDescent="0.25">
      <c r="A178" s="109">
        <v>174</v>
      </c>
      <c r="B178" s="58"/>
      <c r="C178" s="64"/>
      <c r="D178" s="65"/>
      <c r="E178" s="157"/>
      <c r="F178" s="157"/>
      <c r="G178" s="66"/>
      <c r="H178" s="59"/>
      <c r="I178" s="60"/>
      <c r="J178" s="76"/>
      <c r="K178" s="61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</row>
    <row r="179" spans="1:34" ht="50.15" customHeight="1" x14ac:dyDescent="0.25">
      <c r="A179" s="109">
        <v>175</v>
      </c>
      <c r="B179" s="58"/>
      <c r="C179" s="64"/>
      <c r="D179" s="65"/>
      <c r="E179" s="157"/>
      <c r="F179" s="157"/>
      <c r="G179" s="66"/>
      <c r="H179" s="59"/>
      <c r="I179" s="60"/>
      <c r="J179" s="76"/>
      <c r="K179" s="61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</row>
    <row r="180" spans="1:34" ht="50.15" customHeight="1" x14ac:dyDescent="0.25">
      <c r="A180" s="109">
        <v>176</v>
      </c>
      <c r="B180" s="58"/>
      <c r="C180" s="64"/>
      <c r="D180" s="65"/>
      <c r="E180" s="157"/>
      <c r="F180" s="157"/>
      <c r="G180" s="66"/>
      <c r="H180" s="59"/>
      <c r="I180" s="60"/>
      <c r="J180" s="76"/>
      <c r="K180" s="61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</row>
    <row r="181" spans="1:34" ht="50.15" customHeight="1" x14ac:dyDescent="0.25">
      <c r="A181" s="109">
        <v>177</v>
      </c>
      <c r="B181" s="58"/>
      <c r="C181" s="64"/>
      <c r="D181" s="65"/>
      <c r="E181" s="157"/>
      <c r="F181" s="157"/>
      <c r="G181" s="66"/>
      <c r="H181" s="59"/>
      <c r="I181" s="60"/>
      <c r="J181" s="76"/>
      <c r="K181" s="61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</row>
    <row r="182" spans="1:34" ht="50.15" customHeight="1" x14ac:dyDescent="0.25">
      <c r="A182" s="109">
        <v>178</v>
      </c>
      <c r="B182" s="58"/>
      <c r="C182" s="64"/>
      <c r="D182" s="65"/>
      <c r="E182" s="157"/>
      <c r="F182" s="157"/>
      <c r="G182" s="66"/>
      <c r="H182" s="59"/>
      <c r="I182" s="60"/>
      <c r="J182" s="76"/>
      <c r="K182" s="61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</row>
    <row r="183" spans="1:34" ht="50.15" customHeight="1" x14ac:dyDescent="0.25">
      <c r="A183" s="109">
        <v>179</v>
      </c>
      <c r="B183" s="58"/>
      <c r="C183" s="64"/>
      <c r="D183" s="65"/>
      <c r="E183" s="157"/>
      <c r="F183" s="157"/>
      <c r="G183" s="66"/>
      <c r="H183" s="59"/>
      <c r="I183" s="60"/>
      <c r="J183" s="76"/>
      <c r="K183" s="61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</row>
    <row r="184" spans="1:34" ht="50.15" customHeight="1" x14ac:dyDescent="0.25">
      <c r="A184" s="109">
        <v>180</v>
      </c>
      <c r="B184" s="58"/>
      <c r="C184" s="64"/>
      <c r="D184" s="65"/>
      <c r="E184" s="157"/>
      <c r="F184" s="157"/>
      <c r="G184" s="66"/>
      <c r="H184" s="59"/>
      <c r="I184" s="60"/>
      <c r="J184" s="76"/>
      <c r="K184" s="61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</row>
    <row r="185" spans="1:34" ht="50.15" customHeight="1" x14ac:dyDescent="0.25">
      <c r="A185" s="109">
        <v>181</v>
      </c>
      <c r="B185" s="58"/>
      <c r="C185" s="64"/>
      <c r="D185" s="65"/>
      <c r="E185" s="157"/>
      <c r="F185" s="157"/>
      <c r="G185" s="66"/>
      <c r="H185" s="59"/>
      <c r="I185" s="60"/>
      <c r="J185" s="76"/>
      <c r="K185" s="61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</row>
    <row r="186" spans="1:34" ht="50.15" customHeight="1" x14ac:dyDescent="0.25">
      <c r="A186" s="109">
        <v>182</v>
      </c>
      <c r="B186" s="58"/>
      <c r="C186" s="64"/>
      <c r="D186" s="65"/>
      <c r="E186" s="157"/>
      <c r="F186" s="157"/>
      <c r="G186" s="66"/>
      <c r="H186" s="59"/>
      <c r="I186" s="60"/>
      <c r="J186" s="76"/>
      <c r="K186" s="61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34" ht="50.15" customHeight="1" x14ac:dyDescent="0.25">
      <c r="A187" s="109">
        <v>183</v>
      </c>
      <c r="B187" s="58"/>
      <c r="C187" s="64"/>
      <c r="D187" s="65"/>
      <c r="E187" s="157"/>
      <c r="F187" s="157"/>
      <c r="G187" s="66"/>
      <c r="H187" s="59"/>
      <c r="I187" s="60"/>
      <c r="J187" s="76"/>
      <c r="K187" s="61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4" ht="50.15" customHeight="1" x14ac:dyDescent="0.25">
      <c r="A188" s="109">
        <v>184</v>
      </c>
      <c r="B188" s="58"/>
      <c r="C188" s="64"/>
      <c r="D188" s="65"/>
      <c r="E188" s="157"/>
      <c r="F188" s="157"/>
      <c r="G188" s="66"/>
      <c r="H188" s="59"/>
      <c r="I188" s="60"/>
      <c r="J188" s="76"/>
      <c r="K188" s="61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4" ht="50.15" customHeight="1" x14ac:dyDescent="0.25">
      <c r="A189" s="109">
        <v>185</v>
      </c>
      <c r="B189" s="58"/>
      <c r="C189" s="64"/>
      <c r="D189" s="65"/>
      <c r="E189" s="157"/>
      <c r="F189" s="157"/>
      <c r="G189" s="66"/>
      <c r="H189" s="59"/>
      <c r="I189" s="60"/>
      <c r="J189" s="76"/>
      <c r="K189" s="61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4" ht="50.15" customHeight="1" x14ac:dyDescent="0.25">
      <c r="A190" s="109">
        <v>186</v>
      </c>
      <c r="B190" s="58"/>
      <c r="C190" s="64"/>
      <c r="D190" s="65"/>
      <c r="E190" s="157"/>
      <c r="F190" s="157"/>
      <c r="G190" s="66"/>
      <c r="H190" s="59"/>
      <c r="I190" s="60"/>
      <c r="J190" s="76"/>
      <c r="K190" s="61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4" ht="50.15" customHeight="1" x14ac:dyDescent="0.25">
      <c r="A191" s="109">
        <v>187</v>
      </c>
      <c r="B191" s="58"/>
      <c r="C191" s="64"/>
      <c r="D191" s="65"/>
      <c r="E191" s="157"/>
      <c r="F191" s="157"/>
      <c r="G191" s="66"/>
      <c r="H191" s="59"/>
      <c r="I191" s="60"/>
      <c r="J191" s="76"/>
      <c r="K191" s="61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4" ht="50.15" customHeight="1" x14ac:dyDescent="0.25">
      <c r="A192" s="109">
        <v>188</v>
      </c>
      <c r="B192" s="58"/>
      <c r="C192" s="64"/>
      <c r="D192" s="65"/>
      <c r="E192" s="157"/>
      <c r="F192" s="157"/>
      <c r="G192" s="66"/>
      <c r="H192" s="59"/>
      <c r="I192" s="60"/>
      <c r="J192" s="76"/>
      <c r="K192" s="61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34" ht="50.15" customHeight="1" x14ac:dyDescent="0.25">
      <c r="A193" s="109">
        <v>189</v>
      </c>
      <c r="B193" s="58"/>
      <c r="C193" s="64"/>
      <c r="D193" s="65"/>
      <c r="E193" s="157"/>
      <c r="F193" s="157"/>
      <c r="G193" s="66"/>
      <c r="H193" s="59"/>
      <c r="I193" s="60"/>
      <c r="J193" s="76"/>
      <c r="K193" s="61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</row>
    <row r="194" spans="1:34" ht="50.15" customHeight="1" x14ac:dyDescent="0.25">
      <c r="A194" s="109">
        <v>190</v>
      </c>
      <c r="B194" s="58"/>
      <c r="C194" s="64"/>
      <c r="D194" s="65"/>
      <c r="E194" s="157"/>
      <c r="F194" s="157"/>
      <c r="G194" s="66"/>
      <c r="H194" s="59"/>
      <c r="I194" s="60"/>
      <c r="J194" s="76"/>
      <c r="K194" s="61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34" ht="50.15" customHeight="1" x14ac:dyDescent="0.25">
      <c r="A195" s="109">
        <v>191</v>
      </c>
      <c r="B195" s="58"/>
      <c r="C195" s="64"/>
      <c r="D195" s="65"/>
      <c r="E195" s="157"/>
      <c r="F195" s="157"/>
      <c r="G195" s="66"/>
      <c r="H195" s="59"/>
      <c r="I195" s="60"/>
      <c r="J195" s="76"/>
      <c r="K195" s="61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34" ht="50.15" customHeight="1" x14ac:dyDescent="0.25">
      <c r="A196" s="109">
        <v>192</v>
      </c>
      <c r="B196" s="58"/>
      <c r="C196" s="64"/>
      <c r="D196" s="65"/>
      <c r="E196" s="157"/>
      <c r="F196" s="157"/>
      <c r="G196" s="66"/>
      <c r="H196" s="59"/>
      <c r="I196" s="60"/>
      <c r="J196" s="76"/>
      <c r="K196" s="61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34" ht="50.15" customHeight="1" x14ac:dyDescent="0.25">
      <c r="A197" s="109">
        <v>193</v>
      </c>
      <c r="B197" s="58"/>
      <c r="C197" s="64"/>
      <c r="D197" s="65"/>
      <c r="E197" s="157"/>
      <c r="F197" s="157"/>
      <c r="G197" s="66"/>
      <c r="H197" s="59"/>
      <c r="I197" s="60"/>
      <c r="J197" s="76"/>
      <c r="K197" s="61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34" ht="50.15" customHeight="1" x14ac:dyDescent="0.25">
      <c r="A198" s="109">
        <v>194</v>
      </c>
      <c r="B198" s="58"/>
      <c r="C198" s="64"/>
      <c r="D198" s="65"/>
      <c r="E198" s="157"/>
      <c r="F198" s="157"/>
      <c r="G198" s="66"/>
      <c r="H198" s="59"/>
      <c r="I198" s="60"/>
      <c r="J198" s="76"/>
      <c r="K198" s="61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34" ht="50.15" customHeight="1" x14ac:dyDescent="0.25">
      <c r="A199" s="109">
        <v>195</v>
      </c>
      <c r="B199" s="58"/>
      <c r="C199" s="64"/>
      <c r="D199" s="65"/>
      <c r="E199" s="157"/>
      <c r="F199" s="157"/>
      <c r="G199" s="66"/>
      <c r="H199" s="59"/>
      <c r="I199" s="60"/>
      <c r="J199" s="76"/>
      <c r="K199" s="61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34" ht="50.15" customHeight="1" x14ac:dyDescent="0.25">
      <c r="A200" s="109">
        <v>196</v>
      </c>
      <c r="B200" s="58"/>
      <c r="C200" s="64"/>
      <c r="D200" s="65"/>
      <c r="E200" s="157"/>
      <c r="F200" s="157"/>
      <c r="G200" s="66"/>
      <c r="H200" s="59"/>
      <c r="I200" s="60"/>
      <c r="J200" s="76"/>
      <c r="K200" s="61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34" ht="50.15" customHeight="1" x14ac:dyDescent="0.25">
      <c r="A201" s="109">
        <v>197</v>
      </c>
      <c r="B201" s="58"/>
      <c r="C201" s="64"/>
      <c r="D201" s="65"/>
      <c r="E201" s="157"/>
      <c r="F201" s="157"/>
      <c r="G201" s="66"/>
      <c r="H201" s="59"/>
      <c r="I201" s="60"/>
      <c r="J201" s="76"/>
      <c r="K201" s="61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34" ht="50.15" customHeight="1" x14ac:dyDescent="0.25">
      <c r="A202" s="109">
        <v>198</v>
      </c>
      <c r="B202" s="58"/>
      <c r="C202" s="64"/>
      <c r="D202" s="65"/>
      <c r="E202" s="157"/>
      <c r="F202" s="157"/>
      <c r="G202" s="66"/>
      <c r="H202" s="59"/>
      <c r="I202" s="60"/>
      <c r="J202" s="76"/>
      <c r="K202" s="61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34" ht="50.15" customHeight="1" x14ac:dyDescent="0.25">
      <c r="A203" s="109">
        <v>199</v>
      </c>
      <c r="B203" s="58"/>
      <c r="C203" s="64"/>
      <c r="D203" s="65"/>
      <c r="E203" s="157"/>
      <c r="F203" s="157"/>
      <c r="G203" s="66"/>
      <c r="H203" s="59"/>
      <c r="I203" s="60"/>
      <c r="J203" s="76"/>
      <c r="K203" s="61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34" ht="50.15" customHeight="1" x14ac:dyDescent="0.25">
      <c r="A204" s="109">
        <v>200</v>
      </c>
      <c r="B204" s="58"/>
      <c r="C204" s="64"/>
      <c r="D204" s="65"/>
      <c r="E204" s="157"/>
      <c r="F204" s="157"/>
      <c r="G204" s="66"/>
      <c r="H204" s="59"/>
      <c r="I204" s="60"/>
      <c r="J204" s="76"/>
      <c r="K204" s="61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34" ht="50.15" customHeight="1" x14ac:dyDescent="0.25">
      <c r="A205" s="109">
        <v>201</v>
      </c>
      <c r="B205" s="58"/>
      <c r="C205" s="64"/>
      <c r="D205" s="65"/>
      <c r="E205" s="157"/>
      <c r="F205" s="157"/>
      <c r="G205" s="66"/>
      <c r="H205" s="59"/>
      <c r="I205" s="60"/>
      <c r="J205" s="76"/>
      <c r="K205" s="61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34" ht="50.15" customHeight="1" x14ac:dyDescent="0.25">
      <c r="A206" s="109">
        <v>202</v>
      </c>
      <c r="B206" s="58"/>
      <c r="C206" s="64"/>
      <c r="D206" s="65"/>
      <c r="E206" s="157"/>
      <c r="F206" s="157"/>
      <c r="G206" s="66"/>
      <c r="H206" s="59"/>
      <c r="I206" s="60"/>
      <c r="J206" s="76"/>
      <c r="K206" s="61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34" ht="50.15" customHeight="1" x14ac:dyDescent="0.25">
      <c r="A207" s="109">
        <v>203</v>
      </c>
      <c r="B207" s="58"/>
      <c r="C207" s="64"/>
      <c r="D207" s="65"/>
      <c r="E207" s="157"/>
      <c r="F207" s="157"/>
      <c r="G207" s="66"/>
      <c r="H207" s="59"/>
      <c r="I207" s="60"/>
      <c r="J207" s="76"/>
      <c r="K207" s="61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34" ht="50.15" customHeight="1" x14ac:dyDescent="0.25">
      <c r="A208" s="109">
        <v>204</v>
      </c>
      <c r="B208" s="58"/>
      <c r="C208" s="64"/>
      <c r="D208" s="65"/>
      <c r="E208" s="157"/>
      <c r="F208" s="157"/>
      <c r="G208" s="66"/>
      <c r="H208" s="59"/>
      <c r="I208" s="60"/>
      <c r="J208" s="76"/>
      <c r="K208" s="61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ht="50.15" customHeight="1" x14ac:dyDescent="0.25">
      <c r="A209" s="109">
        <v>205</v>
      </c>
      <c r="B209" s="58"/>
      <c r="C209" s="64"/>
      <c r="D209" s="65"/>
      <c r="E209" s="157"/>
      <c r="F209" s="157"/>
      <c r="G209" s="66"/>
      <c r="H209" s="59"/>
      <c r="I209" s="60"/>
      <c r="J209" s="76"/>
      <c r="K209" s="61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ht="50.15" customHeight="1" x14ac:dyDescent="0.25">
      <c r="A210" s="109">
        <v>206</v>
      </c>
      <c r="B210" s="58"/>
      <c r="C210" s="64"/>
      <c r="D210" s="65"/>
      <c r="E210" s="157"/>
      <c r="F210" s="157"/>
      <c r="G210" s="66"/>
      <c r="H210" s="59"/>
      <c r="I210" s="60"/>
      <c r="J210" s="76"/>
      <c r="K210" s="61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ht="50.15" customHeight="1" x14ac:dyDescent="0.25">
      <c r="A211" s="109">
        <v>207</v>
      </c>
      <c r="B211" s="58"/>
      <c r="C211" s="64"/>
      <c r="D211" s="65"/>
      <c r="E211" s="157"/>
      <c r="F211" s="157"/>
      <c r="G211" s="66"/>
      <c r="H211" s="59"/>
      <c r="I211" s="60"/>
      <c r="J211" s="76"/>
      <c r="K211" s="61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ht="50.15" customHeight="1" x14ac:dyDescent="0.25">
      <c r="A212" s="109">
        <v>208</v>
      </c>
      <c r="B212" s="58"/>
      <c r="C212" s="64"/>
      <c r="D212" s="65"/>
      <c r="E212" s="157"/>
      <c r="F212" s="157"/>
      <c r="G212" s="66"/>
      <c r="H212" s="59"/>
      <c r="I212" s="60"/>
      <c r="J212" s="76"/>
      <c r="K212" s="61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ht="50.15" customHeight="1" x14ac:dyDescent="0.25">
      <c r="A213" s="109">
        <v>209</v>
      </c>
      <c r="B213" s="58"/>
      <c r="C213" s="64"/>
      <c r="D213" s="65"/>
      <c r="E213" s="157"/>
      <c r="F213" s="157"/>
      <c r="G213" s="66"/>
      <c r="H213" s="59"/>
      <c r="I213" s="60"/>
      <c r="J213" s="76"/>
      <c r="K213" s="61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ht="50.15" customHeight="1" x14ac:dyDescent="0.25">
      <c r="A214" s="109">
        <v>210</v>
      </c>
      <c r="B214" s="58"/>
      <c r="C214" s="64"/>
      <c r="D214" s="65"/>
      <c r="E214" s="157"/>
      <c r="F214" s="157"/>
      <c r="G214" s="66"/>
      <c r="H214" s="59"/>
      <c r="I214" s="60"/>
      <c r="J214" s="76"/>
      <c r="K214" s="61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ht="50.15" customHeight="1" x14ac:dyDescent="0.25">
      <c r="A215" s="109">
        <v>211</v>
      </c>
      <c r="B215" s="58"/>
      <c r="C215" s="64"/>
      <c r="D215" s="65"/>
      <c r="E215" s="157"/>
      <c r="F215" s="157"/>
      <c r="G215" s="66"/>
      <c r="H215" s="59"/>
      <c r="I215" s="60"/>
      <c r="J215" s="76"/>
      <c r="K215" s="61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</row>
    <row r="216" spans="1:34" ht="50.15" customHeight="1" x14ac:dyDescent="0.25">
      <c r="A216" s="109">
        <v>212</v>
      </c>
      <c r="B216" s="58"/>
      <c r="C216" s="64"/>
      <c r="D216" s="65"/>
      <c r="E216" s="157"/>
      <c r="F216" s="157"/>
      <c r="G216" s="66"/>
      <c r="H216" s="59"/>
      <c r="I216" s="60"/>
      <c r="J216" s="76"/>
      <c r="K216" s="61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</row>
    <row r="217" spans="1:34" ht="50.15" customHeight="1" x14ac:dyDescent="0.25">
      <c r="A217" s="109">
        <v>213</v>
      </c>
      <c r="B217" s="58"/>
      <c r="C217" s="64"/>
      <c r="D217" s="65"/>
      <c r="E217" s="157"/>
      <c r="F217" s="157"/>
      <c r="G217" s="66"/>
      <c r="H217" s="59"/>
      <c r="I217" s="60"/>
      <c r="J217" s="76"/>
      <c r="K217" s="61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</row>
    <row r="218" spans="1:34" ht="50.15" customHeight="1" x14ac:dyDescent="0.25">
      <c r="A218" s="109">
        <v>214</v>
      </c>
      <c r="B218" s="58"/>
      <c r="C218" s="64"/>
      <c r="D218" s="65"/>
      <c r="E218" s="157"/>
      <c r="F218" s="157"/>
      <c r="G218" s="66"/>
      <c r="H218" s="59"/>
      <c r="I218" s="60"/>
      <c r="J218" s="76"/>
      <c r="K218" s="61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</row>
    <row r="219" spans="1:34" ht="50.15" customHeight="1" x14ac:dyDescent="0.25">
      <c r="A219" s="109">
        <v>215</v>
      </c>
      <c r="B219" s="58"/>
      <c r="C219" s="64"/>
      <c r="D219" s="65"/>
      <c r="E219" s="157"/>
      <c r="F219" s="157"/>
      <c r="G219" s="66"/>
      <c r="H219" s="59"/>
      <c r="I219" s="60"/>
      <c r="J219" s="76"/>
      <c r="K219" s="61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ht="50.15" customHeight="1" x14ac:dyDescent="0.25">
      <c r="A220" s="109">
        <v>216</v>
      </c>
      <c r="B220" s="58"/>
      <c r="C220" s="64"/>
      <c r="D220" s="65"/>
      <c r="E220" s="157"/>
      <c r="F220" s="157"/>
      <c r="G220" s="66"/>
      <c r="H220" s="59"/>
      <c r="I220" s="60"/>
      <c r="J220" s="76"/>
      <c r="K220" s="61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ht="50.15" customHeight="1" x14ac:dyDescent="0.25">
      <c r="A221" s="109">
        <v>217</v>
      </c>
      <c r="B221" s="58"/>
      <c r="C221" s="64"/>
      <c r="D221" s="65"/>
      <c r="E221" s="157"/>
      <c r="F221" s="157"/>
      <c r="G221" s="66"/>
      <c r="H221" s="59"/>
      <c r="I221" s="60"/>
      <c r="J221" s="76"/>
      <c r="K221" s="61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ht="50.15" customHeight="1" x14ac:dyDescent="0.25">
      <c r="A222" s="109">
        <v>218</v>
      </c>
      <c r="B222" s="58"/>
      <c r="C222" s="64"/>
      <c r="D222" s="65"/>
      <c r="E222" s="157"/>
      <c r="F222" s="157"/>
      <c r="G222" s="66"/>
      <c r="H222" s="59"/>
      <c r="I222" s="60"/>
      <c r="J222" s="76"/>
      <c r="K222" s="61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ht="50.15" customHeight="1" x14ac:dyDescent="0.25">
      <c r="A223" s="109">
        <v>219</v>
      </c>
      <c r="B223" s="58"/>
      <c r="C223" s="64"/>
      <c r="D223" s="65"/>
      <c r="E223" s="157"/>
      <c r="F223" s="157"/>
      <c r="G223" s="66"/>
      <c r="H223" s="59"/>
      <c r="I223" s="60"/>
      <c r="J223" s="76"/>
      <c r="K223" s="61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ht="50.15" customHeight="1" x14ac:dyDescent="0.25">
      <c r="A224" s="109">
        <v>220</v>
      </c>
      <c r="B224" s="58"/>
      <c r="C224" s="64"/>
      <c r="D224" s="65"/>
      <c r="E224" s="157"/>
      <c r="F224" s="157"/>
      <c r="G224" s="66"/>
      <c r="H224" s="59"/>
      <c r="I224" s="60"/>
      <c r="J224" s="76"/>
      <c r="K224" s="61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1:34" ht="50.15" customHeight="1" x14ac:dyDescent="0.25">
      <c r="A225" s="109">
        <v>221</v>
      </c>
      <c r="B225" s="58"/>
      <c r="C225" s="64"/>
      <c r="D225" s="65"/>
      <c r="E225" s="157"/>
      <c r="F225" s="157"/>
      <c r="G225" s="66"/>
      <c r="H225" s="59"/>
      <c r="I225" s="60"/>
      <c r="J225" s="76"/>
      <c r="K225" s="61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1:34" ht="50.15" customHeight="1" x14ac:dyDescent="0.25">
      <c r="A226" s="109">
        <v>222</v>
      </c>
      <c r="B226" s="58"/>
      <c r="C226" s="64"/>
      <c r="D226" s="65"/>
      <c r="E226" s="157"/>
      <c r="F226" s="157"/>
      <c r="G226" s="66"/>
      <c r="H226" s="59"/>
      <c r="I226" s="60"/>
      <c r="J226" s="76"/>
      <c r="K226" s="61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</row>
    <row r="227" spans="1:34" ht="50.15" customHeight="1" x14ac:dyDescent="0.25">
      <c r="A227" s="109">
        <v>223</v>
      </c>
      <c r="B227" s="58"/>
      <c r="C227" s="64"/>
      <c r="D227" s="65"/>
      <c r="E227" s="157"/>
      <c r="F227" s="157"/>
      <c r="G227" s="66"/>
      <c r="H227" s="59"/>
      <c r="I227" s="60"/>
      <c r="J227" s="76"/>
      <c r="K227" s="61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</row>
    <row r="228" spans="1:34" ht="50.15" customHeight="1" x14ac:dyDescent="0.25">
      <c r="A228" s="109">
        <v>224</v>
      </c>
      <c r="B228" s="58"/>
      <c r="C228" s="64"/>
      <c r="D228" s="65"/>
      <c r="E228" s="157"/>
      <c r="F228" s="157"/>
      <c r="G228" s="66"/>
      <c r="H228" s="59"/>
      <c r="I228" s="60"/>
      <c r="J228" s="76"/>
      <c r="K228" s="61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</row>
    <row r="229" spans="1:34" ht="50.15" customHeight="1" x14ac:dyDescent="0.25">
      <c r="A229" s="109">
        <v>225</v>
      </c>
      <c r="B229" s="58"/>
      <c r="C229" s="64"/>
      <c r="D229" s="65"/>
      <c r="E229" s="157"/>
      <c r="F229" s="157"/>
      <c r="G229" s="66"/>
      <c r="H229" s="59"/>
      <c r="I229" s="60"/>
      <c r="J229" s="76"/>
      <c r="K229" s="61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</row>
    <row r="230" spans="1:34" ht="50.15" customHeight="1" x14ac:dyDescent="0.25">
      <c r="A230" s="109">
        <v>226</v>
      </c>
      <c r="B230" s="58"/>
      <c r="C230" s="64"/>
      <c r="D230" s="65"/>
      <c r="E230" s="157"/>
      <c r="F230" s="157"/>
      <c r="G230" s="66"/>
      <c r="H230" s="59"/>
      <c r="I230" s="60"/>
      <c r="J230" s="76"/>
      <c r="K230" s="61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</row>
    <row r="231" spans="1:34" ht="50.15" customHeight="1" x14ac:dyDescent="0.25">
      <c r="A231" s="109">
        <v>227</v>
      </c>
      <c r="B231" s="58"/>
      <c r="C231" s="64"/>
      <c r="D231" s="65"/>
      <c r="E231" s="157"/>
      <c r="F231" s="157"/>
      <c r="G231" s="66"/>
      <c r="H231" s="59"/>
      <c r="I231" s="60"/>
      <c r="J231" s="76"/>
      <c r="K231" s="61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</row>
    <row r="232" spans="1:34" ht="50.15" customHeight="1" x14ac:dyDescent="0.25">
      <c r="A232" s="109">
        <v>228</v>
      </c>
      <c r="B232" s="58"/>
      <c r="C232" s="64"/>
      <c r="D232" s="65"/>
      <c r="E232" s="157"/>
      <c r="F232" s="157"/>
      <c r="G232" s="66"/>
      <c r="H232" s="59"/>
      <c r="I232" s="60"/>
      <c r="J232" s="76"/>
      <c r="K232" s="61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</row>
    <row r="233" spans="1:34" ht="50.15" customHeight="1" x14ac:dyDescent="0.25">
      <c r="A233" s="109">
        <v>229</v>
      </c>
      <c r="B233" s="58"/>
      <c r="C233" s="64"/>
      <c r="D233" s="65"/>
      <c r="E233" s="157"/>
      <c r="F233" s="157"/>
      <c r="G233" s="66"/>
      <c r="H233" s="59"/>
      <c r="I233" s="60"/>
      <c r="J233" s="76"/>
      <c r="K233" s="61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</row>
    <row r="234" spans="1:34" ht="50.15" customHeight="1" x14ac:dyDescent="0.25">
      <c r="A234" s="109">
        <v>230</v>
      </c>
      <c r="B234" s="58"/>
      <c r="C234" s="64"/>
      <c r="D234" s="65"/>
      <c r="E234" s="157"/>
      <c r="F234" s="157"/>
      <c r="G234" s="66"/>
      <c r="H234" s="59"/>
      <c r="I234" s="60"/>
      <c r="J234" s="76"/>
      <c r="K234" s="61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</row>
    <row r="235" spans="1:34" s="14" customFormat="1" ht="40" customHeight="1" thickBot="1" x14ac:dyDescent="0.3">
      <c r="A235" s="110"/>
      <c r="B235" s="47"/>
      <c r="C235" s="55"/>
      <c r="D235" s="55"/>
      <c r="E235" s="55"/>
      <c r="F235" s="55"/>
      <c r="G235" s="55"/>
      <c r="H235" s="93"/>
      <c r="I235" s="95"/>
      <c r="J235" s="94"/>
      <c r="K235" s="43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ht="40" customHeight="1" thickTop="1" x14ac:dyDescent="0.25">
      <c r="A236" s="106"/>
      <c r="B236" s="44"/>
      <c r="C236" s="49"/>
      <c r="D236" s="49"/>
      <c r="E236" s="49"/>
      <c r="F236" s="49"/>
      <c r="G236" s="49"/>
      <c r="H236" s="50"/>
      <c r="I236" s="50"/>
      <c r="J236" s="51"/>
      <c r="K236" s="44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</row>
    <row r="237" spans="1:34" ht="40" customHeight="1" x14ac:dyDescent="0.25">
      <c r="A237" s="106"/>
      <c r="B237" s="44"/>
      <c r="C237" s="49"/>
      <c r="D237" s="49"/>
      <c r="E237" s="49"/>
      <c r="F237" s="49"/>
      <c r="G237" s="49"/>
      <c r="H237" s="50"/>
      <c r="I237" s="50"/>
      <c r="J237" s="51"/>
      <c r="K237" s="44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</row>
    <row r="238" spans="1:34" ht="40" customHeight="1" x14ac:dyDescent="0.25">
      <c r="A238" s="106"/>
      <c r="B238" s="44"/>
      <c r="C238" s="49"/>
      <c r="D238" s="49"/>
      <c r="E238" s="49"/>
      <c r="F238" s="49"/>
      <c r="G238" s="49"/>
      <c r="H238" s="50"/>
      <c r="I238" s="50"/>
      <c r="J238" s="51"/>
      <c r="K238" s="44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</row>
    <row r="239" spans="1:34" ht="40" customHeight="1" x14ac:dyDescent="0.25">
      <c r="A239" s="106"/>
      <c r="B239" s="44"/>
      <c r="C239" s="49"/>
      <c r="D239" s="49"/>
      <c r="E239" s="49"/>
      <c r="F239" s="49"/>
      <c r="G239" s="49"/>
      <c r="H239" s="50"/>
      <c r="I239" s="50"/>
      <c r="J239" s="51"/>
      <c r="K239" s="44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</row>
    <row r="240" spans="1:34" ht="40" customHeight="1" x14ac:dyDescent="0.25">
      <c r="A240" s="106"/>
      <c r="B240" s="44"/>
      <c r="C240" s="49"/>
      <c r="D240" s="49"/>
      <c r="E240" s="49"/>
      <c r="F240" s="49"/>
      <c r="G240" s="49"/>
      <c r="H240" s="50"/>
      <c r="I240" s="50"/>
      <c r="J240" s="51"/>
      <c r="K240" s="44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</row>
    <row r="241" spans="1:34" ht="40" customHeight="1" x14ac:dyDescent="0.25">
      <c r="A241" s="106"/>
      <c r="B241" s="44"/>
      <c r="C241" s="49"/>
      <c r="D241" s="49"/>
      <c r="E241" s="49"/>
      <c r="F241" s="49"/>
      <c r="G241" s="49"/>
      <c r="H241" s="50"/>
      <c r="I241" s="50"/>
      <c r="J241" s="51"/>
      <c r="K241" s="44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</row>
    <row r="242" spans="1:34" ht="40" customHeight="1" x14ac:dyDescent="0.25">
      <c r="A242" s="106"/>
      <c r="B242" s="44"/>
      <c r="C242" s="49"/>
      <c r="D242" s="49"/>
      <c r="E242" s="49"/>
      <c r="F242" s="49"/>
      <c r="G242" s="49"/>
      <c r="H242" s="50"/>
      <c r="I242" s="50"/>
      <c r="J242" s="51"/>
      <c r="K242" s="44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</row>
    <row r="243" spans="1:34" ht="40" customHeight="1" x14ac:dyDescent="0.25">
      <c r="A243" s="106"/>
      <c r="B243" s="44"/>
      <c r="C243" s="49"/>
      <c r="D243" s="49"/>
      <c r="E243" s="49"/>
      <c r="F243" s="49"/>
      <c r="G243" s="49"/>
      <c r="H243" s="50"/>
      <c r="I243" s="50"/>
      <c r="J243" s="51"/>
      <c r="K243" s="44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</row>
    <row r="244" spans="1:34" ht="40" customHeight="1" x14ac:dyDescent="0.25">
      <c r="A244" s="106"/>
      <c r="B244" s="44"/>
      <c r="C244" s="49"/>
      <c r="D244" s="49"/>
      <c r="E244" s="49"/>
      <c r="F244" s="49"/>
      <c r="G244" s="49"/>
      <c r="H244" s="50"/>
      <c r="I244" s="50"/>
      <c r="J244" s="51"/>
      <c r="K244" s="44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</row>
    <row r="245" spans="1:34" ht="40" customHeight="1" x14ac:dyDescent="0.25">
      <c r="A245" s="106"/>
      <c r="B245" s="44"/>
      <c r="C245" s="49"/>
      <c r="D245" s="49"/>
      <c r="E245" s="49"/>
      <c r="F245" s="49"/>
      <c r="G245" s="49"/>
      <c r="H245" s="50"/>
      <c r="I245" s="50"/>
      <c r="J245" s="51"/>
      <c r="K245" s="44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</row>
    <row r="246" spans="1:34" ht="40" customHeight="1" x14ac:dyDescent="0.25">
      <c r="A246" s="106"/>
      <c r="B246" s="44"/>
      <c r="C246" s="49"/>
      <c r="D246" s="49"/>
      <c r="E246" s="49"/>
      <c r="F246" s="49"/>
      <c r="G246" s="49"/>
      <c r="H246" s="50"/>
      <c r="I246" s="50"/>
      <c r="J246" s="51"/>
      <c r="K246" s="44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</row>
    <row r="247" spans="1:34" ht="40" customHeight="1" x14ac:dyDescent="0.25">
      <c r="A247" s="106"/>
      <c r="B247" s="44"/>
      <c r="C247" s="49"/>
      <c r="D247" s="49"/>
      <c r="E247" s="49"/>
      <c r="F247" s="49"/>
      <c r="G247" s="49"/>
      <c r="H247" s="50"/>
      <c r="I247" s="50"/>
      <c r="J247" s="51"/>
      <c r="K247" s="44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</row>
    <row r="248" spans="1:34" ht="40" customHeight="1" x14ac:dyDescent="0.25">
      <c r="A248" s="106"/>
      <c r="B248" s="44"/>
      <c r="C248" s="49"/>
      <c r="D248" s="49"/>
      <c r="E248" s="49"/>
      <c r="F248" s="49"/>
      <c r="G248" s="49"/>
      <c r="H248" s="50"/>
      <c r="I248" s="50"/>
      <c r="J248" s="51"/>
      <c r="K248" s="44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</row>
    <row r="249" spans="1:34" ht="40" customHeight="1" x14ac:dyDescent="0.25">
      <c r="A249" s="106"/>
      <c r="B249" s="44"/>
      <c r="C249" s="49"/>
      <c r="D249" s="49"/>
      <c r="E249" s="49"/>
      <c r="F249" s="49"/>
      <c r="G249" s="49"/>
      <c r="H249" s="50"/>
      <c r="I249" s="50"/>
      <c r="J249" s="51"/>
      <c r="K249" s="44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</row>
    <row r="250" spans="1:34" ht="40" customHeight="1" x14ac:dyDescent="0.25">
      <c r="A250" s="106"/>
      <c r="B250" s="44"/>
      <c r="C250" s="49"/>
      <c r="D250" s="49"/>
      <c r="E250" s="49"/>
      <c r="F250" s="49"/>
      <c r="G250" s="49"/>
      <c r="H250" s="50"/>
      <c r="I250" s="50"/>
      <c r="J250" s="51"/>
      <c r="K250" s="44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</row>
    <row r="251" spans="1:34" ht="40" customHeight="1" x14ac:dyDescent="0.25">
      <c r="A251" s="106"/>
      <c r="B251" s="44"/>
      <c r="C251" s="49"/>
      <c r="D251" s="49"/>
      <c r="E251" s="49"/>
      <c r="F251" s="49"/>
      <c r="G251" s="49"/>
      <c r="H251" s="50"/>
      <c r="I251" s="50"/>
      <c r="J251" s="51"/>
      <c r="K251" s="44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</row>
    <row r="252" spans="1:34" ht="40" customHeight="1" x14ac:dyDescent="0.25">
      <c r="A252" s="106"/>
      <c r="B252" s="44"/>
      <c r="C252" s="49"/>
      <c r="D252" s="49"/>
      <c r="E252" s="49"/>
      <c r="F252" s="49"/>
      <c r="G252" s="49"/>
      <c r="H252" s="50"/>
      <c r="I252" s="50"/>
      <c r="J252" s="51"/>
      <c r="K252" s="44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</row>
    <row r="253" spans="1:34" ht="40" customHeight="1" x14ac:dyDescent="0.25">
      <c r="A253" s="106"/>
      <c r="B253" s="44"/>
      <c r="C253" s="49"/>
      <c r="D253" s="49"/>
      <c r="E253" s="49"/>
      <c r="F253" s="49"/>
      <c r="G253" s="49"/>
      <c r="H253" s="50"/>
      <c r="I253" s="50"/>
      <c r="J253" s="51"/>
      <c r="K253" s="44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</row>
    <row r="254" spans="1:34" ht="40" customHeight="1" x14ac:dyDescent="0.25">
      <c r="A254" s="106"/>
      <c r="B254" s="44"/>
      <c r="C254" s="49"/>
      <c r="D254" s="49"/>
      <c r="E254" s="49"/>
      <c r="F254" s="49"/>
      <c r="G254" s="49"/>
      <c r="H254" s="50"/>
      <c r="I254" s="50"/>
      <c r="J254" s="51"/>
      <c r="K254" s="44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</row>
    <row r="255" spans="1:34" ht="40" customHeight="1" x14ac:dyDescent="0.25">
      <c r="A255" s="106"/>
      <c r="B255" s="44"/>
      <c r="C255" s="49"/>
      <c r="D255" s="49"/>
      <c r="E255" s="49"/>
      <c r="F255" s="49"/>
      <c r="G255" s="49"/>
      <c r="H255" s="50"/>
      <c r="I255" s="50"/>
      <c r="J255" s="51"/>
      <c r="K255" s="44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</row>
    <row r="256" spans="1:34" ht="40" customHeight="1" x14ac:dyDescent="0.25">
      <c r="A256" s="106"/>
      <c r="B256" s="44"/>
      <c r="C256" s="49"/>
      <c r="D256" s="49"/>
      <c r="E256" s="49"/>
      <c r="F256" s="49"/>
      <c r="G256" s="49"/>
      <c r="H256" s="50"/>
      <c r="I256" s="50"/>
      <c r="J256" s="51"/>
      <c r="K256" s="44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</row>
    <row r="257" spans="1:34" ht="40" customHeight="1" x14ac:dyDescent="0.25">
      <c r="A257" s="106"/>
      <c r="B257" s="44"/>
      <c r="C257" s="49"/>
      <c r="D257" s="49"/>
      <c r="E257" s="49"/>
      <c r="F257" s="49"/>
      <c r="G257" s="49"/>
      <c r="H257" s="50"/>
      <c r="I257" s="50"/>
      <c r="J257" s="51"/>
      <c r="K257" s="44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</row>
    <row r="258" spans="1:34" ht="40" customHeight="1" x14ac:dyDescent="0.25">
      <c r="A258" s="106"/>
      <c r="B258" s="44"/>
      <c r="C258" s="49"/>
      <c r="D258" s="49"/>
      <c r="E258" s="49"/>
      <c r="F258" s="49"/>
      <c r="G258" s="49"/>
      <c r="H258" s="50"/>
      <c r="I258" s="50"/>
      <c r="J258" s="51"/>
      <c r="K258" s="44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</row>
    <row r="259" spans="1:34" ht="40" customHeight="1" x14ac:dyDescent="0.25">
      <c r="A259" s="106"/>
      <c r="B259" s="44"/>
      <c r="C259" s="49"/>
      <c r="D259" s="49"/>
      <c r="E259" s="49"/>
      <c r="F259" s="49"/>
      <c r="G259" s="49"/>
      <c r="H259" s="50"/>
      <c r="I259" s="50"/>
      <c r="J259" s="51"/>
      <c r="K259" s="44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</row>
    <row r="260" spans="1:34" ht="40" customHeight="1" x14ac:dyDescent="0.25">
      <c r="A260" s="106"/>
      <c r="B260" s="44"/>
      <c r="C260" s="49"/>
      <c r="D260" s="49"/>
      <c r="E260" s="49"/>
      <c r="F260" s="49"/>
      <c r="G260" s="49"/>
      <c r="H260" s="50"/>
      <c r="I260" s="50"/>
      <c r="J260" s="51"/>
      <c r="K260" s="44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</row>
    <row r="261" spans="1:34" ht="40" customHeight="1" x14ac:dyDescent="0.25">
      <c r="A261" s="106"/>
      <c r="B261" s="44"/>
      <c r="C261" s="49"/>
      <c r="D261" s="49"/>
      <c r="E261" s="49"/>
      <c r="F261" s="49"/>
      <c r="G261" s="49"/>
      <c r="H261" s="50"/>
      <c r="I261" s="50"/>
      <c r="J261" s="51"/>
      <c r="K261" s="44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</row>
    <row r="262" spans="1:34" ht="40" customHeight="1" x14ac:dyDescent="0.25">
      <c r="A262" s="106"/>
      <c r="B262" s="44"/>
      <c r="C262" s="49"/>
      <c r="D262" s="49"/>
      <c r="E262" s="49"/>
      <c r="F262" s="49"/>
      <c r="G262" s="49"/>
      <c r="H262" s="50"/>
      <c r="I262" s="50"/>
      <c r="J262" s="51"/>
      <c r="K262" s="44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</row>
    <row r="263" spans="1:34" ht="40" customHeight="1" x14ac:dyDescent="0.25">
      <c r="A263" s="106"/>
      <c r="B263" s="44"/>
      <c r="C263" s="49"/>
      <c r="D263" s="49"/>
      <c r="E263" s="49"/>
      <c r="F263" s="49"/>
      <c r="G263" s="49"/>
      <c r="H263" s="50"/>
      <c r="I263" s="50"/>
      <c r="J263" s="51"/>
      <c r="K263" s="44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</row>
    <row r="264" spans="1:34" s="42" customFormat="1" ht="40" customHeight="1" x14ac:dyDescent="0.25">
      <c r="A264" s="106"/>
      <c r="B264" s="44"/>
      <c r="C264" s="49"/>
      <c r="D264" s="49"/>
      <c r="E264" s="49"/>
      <c r="F264" s="49"/>
      <c r="G264" s="49"/>
      <c r="H264" s="50"/>
      <c r="I264" s="50"/>
      <c r="J264" s="51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spans="1:34" s="42" customFormat="1" ht="40" customHeight="1" x14ac:dyDescent="0.25">
      <c r="A265" s="106"/>
      <c r="B265" s="44"/>
      <c r="C265" s="49"/>
      <c r="D265" s="49"/>
      <c r="E265" s="49"/>
      <c r="F265" s="49"/>
      <c r="G265" s="49"/>
      <c r="H265" s="50"/>
      <c r="I265" s="50"/>
      <c r="J265" s="51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spans="1:34" s="42" customFormat="1" ht="40" customHeight="1" x14ac:dyDescent="0.25">
      <c r="A266" s="106"/>
      <c r="B266" s="44"/>
      <c r="C266" s="49"/>
      <c r="D266" s="49"/>
      <c r="E266" s="49"/>
      <c r="F266" s="49"/>
      <c r="G266" s="49"/>
      <c r="H266" s="50"/>
      <c r="I266" s="50"/>
      <c r="J266" s="51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spans="1:34" s="42" customFormat="1" ht="40" customHeight="1" x14ac:dyDescent="0.25">
      <c r="A267" s="106"/>
      <c r="B267" s="44"/>
      <c r="C267" s="49"/>
      <c r="D267" s="49"/>
      <c r="E267" s="49"/>
      <c r="F267" s="49"/>
      <c r="G267" s="49"/>
      <c r="H267" s="50"/>
      <c r="I267" s="50"/>
      <c r="J267" s="51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spans="1:34" s="42" customFormat="1" ht="40" customHeight="1" x14ac:dyDescent="0.25">
      <c r="A268" s="106"/>
      <c r="B268" s="44"/>
      <c r="C268" s="49"/>
      <c r="D268" s="49"/>
      <c r="E268" s="49"/>
      <c r="F268" s="49"/>
      <c r="G268" s="49"/>
      <c r="H268" s="50"/>
      <c r="I268" s="50"/>
      <c r="J268" s="51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spans="1:34" s="42" customFormat="1" ht="40" customHeight="1" x14ac:dyDescent="0.25">
      <c r="A269" s="106"/>
      <c r="B269" s="44"/>
      <c r="C269" s="49"/>
      <c r="D269" s="49"/>
      <c r="E269" s="49"/>
      <c r="F269" s="49"/>
      <c r="G269" s="49"/>
      <c r="H269" s="50"/>
      <c r="I269" s="50"/>
      <c r="J269" s="51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spans="1:34" s="42" customFormat="1" ht="40" customHeight="1" x14ac:dyDescent="0.25">
      <c r="A270" s="106"/>
      <c r="B270" s="44"/>
      <c r="C270" s="49"/>
      <c r="D270" s="49"/>
      <c r="E270" s="49"/>
      <c r="F270" s="49"/>
      <c r="G270" s="49"/>
      <c r="H270" s="50"/>
      <c r="I270" s="50"/>
      <c r="J270" s="51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s="42" customFormat="1" ht="40" customHeight="1" x14ac:dyDescent="0.25">
      <c r="A271" s="106"/>
      <c r="B271" s="44"/>
      <c r="C271" s="49"/>
      <c r="D271" s="49"/>
      <c r="E271" s="49"/>
      <c r="F271" s="49"/>
      <c r="G271" s="49"/>
      <c r="H271" s="50"/>
      <c r="I271" s="50"/>
      <c r="J271" s="51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s="42" customFormat="1" ht="40" customHeight="1" x14ac:dyDescent="0.25">
      <c r="A272" s="106"/>
      <c r="B272" s="44"/>
      <c r="C272" s="49"/>
      <c r="D272" s="49"/>
      <c r="E272" s="49"/>
      <c r="F272" s="49"/>
      <c r="G272" s="49"/>
      <c r="H272" s="50"/>
      <c r="I272" s="50"/>
      <c r="J272" s="51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1:34" s="42" customFormat="1" ht="40" customHeight="1" x14ac:dyDescent="0.25">
      <c r="A273" s="106"/>
      <c r="B273" s="44"/>
      <c r="C273" s="49"/>
      <c r="D273" s="49"/>
      <c r="E273" s="49"/>
      <c r="F273" s="49"/>
      <c r="G273" s="49"/>
      <c r="H273" s="50"/>
      <c r="I273" s="50"/>
      <c r="J273" s="51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1:34" s="42" customFormat="1" ht="40" customHeight="1" x14ac:dyDescent="0.25">
      <c r="A274" s="106"/>
      <c r="B274" s="44"/>
      <c r="C274" s="49"/>
      <c r="D274" s="49"/>
      <c r="E274" s="49"/>
      <c r="F274" s="49"/>
      <c r="G274" s="49"/>
      <c r="H274" s="50"/>
      <c r="I274" s="50"/>
      <c r="J274" s="51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1:34" s="42" customFormat="1" ht="40" customHeight="1" x14ac:dyDescent="0.25">
      <c r="A275" s="106"/>
      <c r="B275" s="44"/>
      <c r="C275" s="49"/>
      <c r="D275" s="49"/>
      <c r="E275" s="49"/>
      <c r="F275" s="49"/>
      <c r="G275" s="49"/>
      <c r="H275" s="50"/>
      <c r="I275" s="50"/>
      <c r="J275" s="51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1:34" s="42" customFormat="1" ht="40" customHeight="1" x14ac:dyDescent="0.25">
      <c r="A276" s="106"/>
      <c r="B276" s="44"/>
      <c r="C276" s="49"/>
      <c r="D276" s="49"/>
      <c r="E276" s="49"/>
      <c r="F276" s="49"/>
      <c r="G276" s="49"/>
      <c r="H276" s="50"/>
      <c r="I276" s="50"/>
      <c r="J276" s="51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1:34" s="42" customFormat="1" ht="40" customHeight="1" x14ac:dyDescent="0.25">
      <c r="A277" s="106"/>
      <c r="B277" s="44"/>
      <c r="C277" s="49"/>
      <c r="D277" s="49"/>
      <c r="E277" s="49"/>
      <c r="F277" s="49"/>
      <c r="G277" s="49"/>
      <c r="H277" s="50"/>
      <c r="I277" s="50"/>
      <c r="J277" s="51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1:34" s="42" customFormat="1" ht="40" customHeight="1" x14ac:dyDescent="0.25">
      <c r="A278" s="106"/>
      <c r="B278" s="44"/>
      <c r="C278" s="49"/>
      <c r="D278" s="49"/>
      <c r="E278" s="49"/>
      <c r="F278" s="49"/>
      <c r="G278" s="49"/>
      <c r="H278" s="50"/>
      <c r="I278" s="50"/>
      <c r="J278" s="51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1:34" s="42" customFormat="1" ht="40" customHeight="1" x14ac:dyDescent="0.25">
      <c r="A279" s="106"/>
      <c r="B279" s="44"/>
      <c r="C279" s="49"/>
      <c r="D279" s="49"/>
      <c r="E279" s="49"/>
      <c r="F279" s="49"/>
      <c r="G279" s="49"/>
      <c r="H279" s="50"/>
      <c r="I279" s="50"/>
      <c r="J279" s="51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1:34" s="42" customFormat="1" ht="40" customHeight="1" x14ac:dyDescent="0.25">
      <c r="A280" s="106"/>
      <c r="B280" s="44"/>
      <c r="C280" s="49"/>
      <c r="D280" s="49"/>
      <c r="E280" s="49"/>
      <c r="F280" s="49"/>
      <c r="G280" s="49"/>
      <c r="H280" s="50"/>
      <c r="I280" s="50"/>
      <c r="J280" s="51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1:34" s="42" customFormat="1" ht="40" customHeight="1" x14ac:dyDescent="0.25">
      <c r="A281" s="106"/>
      <c r="B281" s="44"/>
      <c r="C281" s="49"/>
      <c r="D281" s="49"/>
      <c r="E281" s="49"/>
      <c r="F281" s="49"/>
      <c r="G281" s="49"/>
      <c r="H281" s="50"/>
      <c r="I281" s="50"/>
      <c r="J281" s="51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1:34" s="42" customFormat="1" ht="40" customHeight="1" x14ac:dyDescent="0.25">
      <c r="A282" s="106"/>
      <c r="B282" s="44"/>
      <c r="C282" s="49"/>
      <c r="D282" s="49"/>
      <c r="E282" s="49"/>
      <c r="F282" s="49"/>
      <c r="G282" s="49"/>
      <c r="H282" s="50"/>
      <c r="I282" s="50"/>
      <c r="J282" s="51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1:34" s="42" customFormat="1" ht="40" customHeight="1" x14ac:dyDescent="0.25">
      <c r="A283" s="106"/>
      <c r="B283" s="44"/>
      <c r="C283" s="49"/>
      <c r="D283" s="49"/>
      <c r="E283" s="49"/>
      <c r="F283" s="49"/>
      <c r="G283" s="49"/>
      <c r="H283" s="50"/>
      <c r="I283" s="50"/>
      <c r="J283" s="51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1:34" s="42" customFormat="1" ht="40" customHeight="1" x14ac:dyDescent="0.25">
      <c r="A284" s="106"/>
      <c r="B284" s="44"/>
      <c r="C284" s="49"/>
      <c r="D284" s="49"/>
      <c r="E284" s="49"/>
      <c r="F284" s="49"/>
      <c r="G284" s="49"/>
      <c r="H284" s="50"/>
      <c r="I284" s="50"/>
      <c r="J284" s="51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1:34" s="42" customFormat="1" ht="40" customHeight="1" x14ac:dyDescent="0.25">
      <c r="A285" s="106"/>
      <c r="B285" s="44"/>
      <c r="C285" s="49"/>
      <c r="D285" s="49"/>
      <c r="E285" s="49"/>
      <c r="F285" s="49"/>
      <c r="G285" s="49"/>
      <c r="H285" s="50"/>
      <c r="I285" s="50"/>
      <c r="J285" s="51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1:34" s="42" customFormat="1" ht="40" customHeight="1" x14ac:dyDescent="0.25">
      <c r="A286" s="106"/>
      <c r="B286" s="44"/>
      <c r="C286" s="49"/>
      <c r="D286" s="49"/>
      <c r="E286" s="49"/>
      <c r="F286" s="49"/>
      <c r="G286" s="49"/>
      <c r="H286" s="50"/>
      <c r="I286" s="50"/>
      <c r="J286" s="51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1:34" s="42" customFormat="1" ht="40" customHeight="1" x14ac:dyDescent="0.25">
      <c r="A287" s="106"/>
      <c r="B287" s="44"/>
      <c r="C287" s="49"/>
      <c r="D287" s="49"/>
      <c r="E287" s="49"/>
      <c r="F287" s="49"/>
      <c r="G287" s="49"/>
      <c r="H287" s="50"/>
      <c r="I287" s="50"/>
      <c r="J287" s="51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1:34" s="42" customFormat="1" ht="40" customHeight="1" x14ac:dyDescent="0.25">
      <c r="A288" s="106"/>
      <c r="B288" s="44"/>
      <c r="C288" s="49"/>
      <c r="D288" s="49"/>
      <c r="E288" s="49"/>
      <c r="F288" s="49"/>
      <c r="G288" s="49"/>
      <c r="H288" s="50"/>
      <c r="I288" s="50"/>
      <c r="J288" s="51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:34" s="42" customFormat="1" ht="40" customHeight="1" x14ac:dyDescent="0.25">
      <c r="A289" s="106"/>
      <c r="B289" s="44"/>
      <c r="C289" s="49"/>
      <c r="D289" s="49"/>
      <c r="E289" s="49"/>
      <c r="F289" s="49"/>
      <c r="G289" s="49"/>
      <c r="H289" s="50"/>
      <c r="I289" s="50"/>
      <c r="J289" s="51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:34" s="42" customFormat="1" ht="40" customHeight="1" x14ac:dyDescent="0.25">
      <c r="A290" s="106"/>
      <c r="B290" s="44"/>
      <c r="C290" s="49"/>
      <c r="D290" s="49"/>
      <c r="E290" s="49"/>
      <c r="F290" s="49"/>
      <c r="G290" s="49"/>
      <c r="H290" s="50"/>
      <c r="I290" s="50"/>
      <c r="J290" s="51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:34" s="42" customFormat="1" ht="40" customHeight="1" x14ac:dyDescent="0.25">
      <c r="A291" s="106"/>
      <c r="B291" s="44"/>
      <c r="C291" s="49"/>
      <c r="D291" s="49"/>
      <c r="E291" s="49"/>
      <c r="F291" s="49"/>
      <c r="G291" s="49"/>
      <c r="H291" s="50"/>
      <c r="I291" s="50"/>
      <c r="J291" s="51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:34" s="42" customFormat="1" ht="40" customHeight="1" x14ac:dyDescent="0.25">
      <c r="A292" s="106"/>
      <c r="B292" s="44"/>
      <c r="C292" s="49"/>
      <c r="D292" s="49"/>
      <c r="E292" s="49"/>
      <c r="F292" s="49"/>
      <c r="G292" s="49"/>
      <c r="H292" s="50"/>
      <c r="I292" s="50"/>
      <c r="J292" s="51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:34" s="42" customFormat="1" ht="40" customHeight="1" x14ac:dyDescent="0.25">
      <c r="A293" s="106"/>
      <c r="B293" s="44"/>
      <c r="C293" s="49"/>
      <c r="D293" s="49"/>
      <c r="E293" s="49"/>
      <c r="F293" s="49"/>
      <c r="G293" s="49"/>
      <c r="H293" s="50"/>
      <c r="I293" s="50"/>
      <c r="J293" s="51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:34" s="42" customFormat="1" ht="40" customHeight="1" x14ac:dyDescent="0.25">
      <c r="A294" s="106"/>
      <c r="B294" s="44"/>
      <c r="C294" s="49"/>
      <c r="D294" s="49"/>
      <c r="E294" s="49"/>
      <c r="F294" s="49"/>
      <c r="G294" s="49"/>
      <c r="H294" s="50"/>
      <c r="I294" s="50"/>
      <c r="J294" s="51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1:34" s="42" customFormat="1" ht="40" customHeight="1" x14ac:dyDescent="0.25">
      <c r="A295" s="106"/>
      <c r="B295" s="44"/>
      <c r="C295" s="49"/>
      <c r="D295" s="49"/>
      <c r="E295" s="49"/>
      <c r="F295" s="49"/>
      <c r="G295" s="49"/>
      <c r="H295" s="50"/>
      <c r="I295" s="50"/>
      <c r="J295" s="51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1:34" s="42" customFormat="1" ht="40" customHeight="1" x14ac:dyDescent="0.25">
      <c r="A296" s="106"/>
      <c r="B296" s="44"/>
      <c r="C296" s="49"/>
      <c r="D296" s="49"/>
      <c r="E296" s="49"/>
      <c r="F296" s="49"/>
      <c r="G296" s="49"/>
      <c r="H296" s="50"/>
      <c r="I296" s="50"/>
      <c r="J296" s="51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1:34" s="42" customFormat="1" ht="40" customHeight="1" x14ac:dyDescent="0.25">
      <c r="A297" s="106"/>
      <c r="B297" s="44"/>
      <c r="C297" s="49"/>
      <c r="D297" s="49"/>
      <c r="E297" s="49"/>
      <c r="F297" s="49"/>
      <c r="G297" s="49"/>
      <c r="H297" s="50"/>
      <c r="I297" s="50"/>
      <c r="J297" s="51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spans="1:34" s="42" customFormat="1" ht="40" customHeight="1" x14ac:dyDescent="0.25">
      <c r="A298" s="106"/>
      <c r="B298" s="44"/>
      <c r="C298" s="49"/>
      <c r="D298" s="49"/>
      <c r="E298" s="49"/>
      <c r="F298" s="49"/>
      <c r="G298" s="49"/>
      <c r="H298" s="50"/>
      <c r="I298" s="50"/>
      <c r="J298" s="51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spans="1:34" s="42" customFormat="1" ht="40" customHeight="1" x14ac:dyDescent="0.25">
      <c r="A299" s="106"/>
      <c r="B299" s="44"/>
      <c r="C299" s="49"/>
      <c r="D299" s="49"/>
      <c r="E299" s="49"/>
      <c r="F299" s="49"/>
      <c r="G299" s="49"/>
      <c r="H299" s="50"/>
      <c r="I299" s="50"/>
      <c r="J299" s="51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spans="1:34" s="42" customFormat="1" ht="40" customHeight="1" x14ac:dyDescent="0.25">
      <c r="A300" s="106"/>
      <c r="B300" s="44"/>
      <c r="C300" s="49"/>
      <c r="D300" s="49"/>
      <c r="E300" s="49"/>
      <c r="F300" s="49"/>
      <c r="G300" s="49"/>
      <c r="H300" s="50"/>
      <c r="I300" s="50"/>
      <c r="J300" s="51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spans="1:34" s="42" customFormat="1" ht="40" customHeight="1" x14ac:dyDescent="0.25">
      <c r="A301" s="106"/>
      <c r="B301" s="44"/>
      <c r="C301" s="49"/>
      <c r="D301" s="49"/>
      <c r="E301" s="49"/>
      <c r="F301" s="49"/>
      <c r="G301" s="49"/>
      <c r="H301" s="50"/>
      <c r="I301" s="50"/>
      <c r="J301" s="51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spans="1:34" s="42" customFormat="1" ht="40" customHeight="1" x14ac:dyDescent="0.25">
      <c r="A302" s="106"/>
      <c r="B302" s="44"/>
      <c r="C302" s="49"/>
      <c r="D302" s="49"/>
      <c r="E302" s="49"/>
      <c r="F302" s="49"/>
      <c r="G302" s="49"/>
      <c r="H302" s="50"/>
      <c r="I302" s="50"/>
      <c r="J302" s="51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spans="1:34" s="42" customFormat="1" ht="40" customHeight="1" x14ac:dyDescent="0.25">
      <c r="A303" s="106"/>
      <c r="B303" s="44"/>
      <c r="C303" s="49"/>
      <c r="D303" s="49"/>
      <c r="E303" s="49"/>
      <c r="F303" s="49"/>
      <c r="G303" s="49"/>
      <c r="H303" s="50"/>
      <c r="I303" s="50"/>
      <c r="J303" s="51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spans="1:34" s="42" customFormat="1" ht="40" customHeight="1" x14ac:dyDescent="0.25">
      <c r="A304" s="106"/>
      <c r="B304" s="44"/>
      <c r="C304" s="49"/>
      <c r="D304" s="49"/>
      <c r="E304" s="49"/>
      <c r="F304" s="49"/>
      <c r="G304" s="49"/>
      <c r="H304" s="50"/>
      <c r="I304" s="50"/>
      <c r="J304" s="51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spans="1:34" s="42" customFormat="1" ht="40" customHeight="1" x14ac:dyDescent="0.25">
      <c r="A305" s="106"/>
      <c r="B305" s="44"/>
      <c r="C305" s="49"/>
      <c r="D305" s="49"/>
      <c r="E305" s="49"/>
      <c r="F305" s="49"/>
      <c r="G305" s="49"/>
      <c r="H305" s="50"/>
      <c r="I305" s="50"/>
      <c r="J305" s="51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 spans="1:34" s="42" customFormat="1" ht="40" customHeight="1" x14ac:dyDescent="0.25">
      <c r="A306" s="106"/>
      <c r="B306" s="44"/>
      <c r="C306" s="49"/>
      <c r="D306" s="49"/>
      <c r="E306" s="49"/>
      <c r="F306" s="49"/>
      <c r="G306" s="49"/>
      <c r="H306" s="50"/>
      <c r="I306" s="50"/>
      <c r="J306" s="51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spans="1:34" s="42" customFormat="1" ht="40" customHeight="1" x14ac:dyDescent="0.25">
      <c r="A307" s="106"/>
      <c r="B307" s="44"/>
      <c r="C307" s="49"/>
      <c r="D307" s="49"/>
      <c r="E307" s="49"/>
      <c r="F307" s="49"/>
      <c r="G307" s="49"/>
      <c r="H307" s="50"/>
      <c r="I307" s="50"/>
      <c r="J307" s="51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spans="1:34" s="42" customFormat="1" ht="40" customHeight="1" x14ac:dyDescent="0.25">
      <c r="A308" s="106"/>
      <c r="B308" s="44"/>
      <c r="C308" s="49"/>
      <c r="D308" s="49"/>
      <c r="E308" s="49"/>
      <c r="F308" s="49"/>
      <c r="G308" s="49"/>
      <c r="H308" s="50"/>
      <c r="I308" s="50"/>
      <c r="J308" s="51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spans="1:34" s="42" customFormat="1" ht="40" customHeight="1" x14ac:dyDescent="0.25">
      <c r="A309" s="106"/>
      <c r="B309" s="44"/>
      <c r="C309" s="49"/>
      <c r="D309" s="49"/>
      <c r="E309" s="49"/>
      <c r="F309" s="49"/>
      <c r="G309" s="49"/>
      <c r="H309" s="50"/>
      <c r="I309" s="50"/>
      <c r="J309" s="51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spans="1:34" s="42" customFormat="1" ht="40" customHeight="1" x14ac:dyDescent="0.25">
      <c r="A310" s="106"/>
      <c r="B310" s="44"/>
      <c r="C310" s="49"/>
      <c r="D310" s="49"/>
      <c r="E310" s="49"/>
      <c r="F310" s="49"/>
      <c r="G310" s="49"/>
      <c r="H310" s="50"/>
      <c r="I310" s="50"/>
      <c r="J310" s="51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spans="1:34" s="42" customFormat="1" ht="40" customHeight="1" x14ac:dyDescent="0.25">
      <c r="A311" s="106"/>
      <c r="B311" s="44"/>
      <c r="C311" s="49"/>
      <c r="D311" s="49"/>
      <c r="E311" s="49"/>
      <c r="F311" s="49"/>
      <c r="G311" s="49"/>
      <c r="H311" s="50"/>
      <c r="I311" s="50"/>
      <c r="J311" s="51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spans="1:34" s="42" customFormat="1" ht="40" customHeight="1" x14ac:dyDescent="0.25">
      <c r="A312" s="106"/>
      <c r="B312" s="44"/>
      <c r="C312" s="49"/>
      <c r="D312" s="49"/>
      <c r="E312" s="49"/>
      <c r="F312" s="49"/>
      <c r="G312" s="49"/>
      <c r="H312" s="50"/>
      <c r="I312" s="50"/>
      <c r="J312" s="51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spans="1:34" s="42" customFormat="1" ht="40" customHeight="1" x14ac:dyDescent="0.25">
      <c r="A313" s="106"/>
      <c r="B313" s="44"/>
      <c r="C313" s="49"/>
      <c r="D313" s="49"/>
      <c r="E313" s="49"/>
      <c r="F313" s="49"/>
      <c r="G313" s="49"/>
      <c r="H313" s="50"/>
      <c r="I313" s="50"/>
      <c r="J313" s="51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spans="1:34" s="42" customFormat="1" ht="40" customHeight="1" x14ac:dyDescent="0.25">
      <c r="A314" s="106"/>
      <c r="B314" s="44"/>
      <c r="C314" s="49"/>
      <c r="D314" s="49"/>
      <c r="E314" s="49"/>
      <c r="F314" s="49"/>
      <c r="G314" s="49"/>
      <c r="H314" s="50"/>
      <c r="I314" s="50"/>
      <c r="J314" s="51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spans="1:34" s="42" customFormat="1" ht="40" customHeight="1" x14ac:dyDescent="0.25">
      <c r="A315" s="106"/>
      <c r="B315" s="44"/>
      <c r="C315" s="49"/>
      <c r="D315" s="49"/>
      <c r="E315" s="49"/>
      <c r="F315" s="49"/>
      <c r="G315" s="49"/>
      <c r="H315" s="50"/>
      <c r="I315" s="50"/>
      <c r="J315" s="51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spans="1:34" s="42" customFormat="1" ht="40" customHeight="1" x14ac:dyDescent="0.25">
      <c r="A316" s="106"/>
      <c r="B316" s="44"/>
      <c r="C316" s="49"/>
      <c r="D316" s="49"/>
      <c r="E316" s="49"/>
      <c r="F316" s="49"/>
      <c r="G316" s="49"/>
      <c r="H316" s="50"/>
      <c r="I316" s="50"/>
      <c r="J316" s="51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spans="1:34" s="42" customFormat="1" ht="40" customHeight="1" x14ac:dyDescent="0.25">
      <c r="A317" s="106"/>
      <c r="B317" s="44"/>
      <c r="C317" s="49"/>
      <c r="D317" s="49"/>
      <c r="E317" s="49"/>
      <c r="F317" s="49"/>
      <c r="G317" s="49"/>
      <c r="H317" s="50"/>
      <c r="I317" s="50"/>
      <c r="J317" s="51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spans="1:34" s="42" customFormat="1" ht="40" customHeight="1" x14ac:dyDescent="0.25">
      <c r="A318" s="106"/>
      <c r="B318" s="44"/>
      <c r="C318" s="49"/>
      <c r="D318" s="49"/>
      <c r="E318" s="49"/>
      <c r="F318" s="49"/>
      <c r="G318" s="49"/>
      <c r="H318" s="50"/>
      <c r="I318" s="50"/>
      <c r="J318" s="51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spans="1:34" s="42" customFormat="1" ht="40" customHeight="1" x14ac:dyDescent="0.25">
      <c r="A319" s="106"/>
      <c r="B319" s="44"/>
      <c r="C319" s="49"/>
      <c r="D319" s="49"/>
      <c r="E319" s="49"/>
      <c r="F319" s="49"/>
      <c r="G319" s="49"/>
      <c r="H319" s="50"/>
      <c r="I319" s="50"/>
      <c r="J319" s="51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spans="1:34" s="42" customFormat="1" ht="40" customHeight="1" x14ac:dyDescent="0.25">
      <c r="A320" s="106"/>
      <c r="B320" s="44"/>
      <c r="C320" s="49"/>
      <c r="D320" s="49"/>
      <c r="E320" s="49"/>
      <c r="F320" s="49"/>
      <c r="G320" s="49"/>
      <c r="H320" s="50"/>
      <c r="I320" s="50"/>
      <c r="J320" s="51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spans="1:34" s="42" customFormat="1" ht="40" customHeight="1" x14ac:dyDescent="0.25">
      <c r="A321" s="106"/>
      <c r="B321" s="44"/>
      <c r="C321" s="49"/>
      <c r="D321" s="49"/>
      <c r="E321" s="49"/>
      <c r="F321" s="49"/>
      <c r="G321" s="49"/>
      <c r="H321" s="50"/>
      <c r="I321" s="50"/>
      <c r="J321" s="51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spans="1:34" s="42" customFormat="1" ht="40" customHeight="1" x14ac:dyDescent="0.25">
      <c r="A322" s="106"/>
      <c r="B322" s="44"/>
      <c r="C322" s="49"/>
      <c r="D322" s="49"/>
      <c r="E322" s="49"/>
      <c r="F322" s="49"/>
      <c r="G322" s="49"/>
      <c r="H322" s="50"/>
      <c r="I322" s="50"/>
      <c r="J322" s="51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spans="1:34" s="42" customFormat="1" ht="40" customHeight="1" x14ac:dyDescent="0.25">
      <c r="A323" s="106"/>
      <c r="B323" s="44"/>
      <c r="C323" s="49"/>
      <c r="D323" s="49"/>
      <c r="E323" s="49"/>
      <c r="F323" s="49"/>
      <c r="G323" s="49"/>
      <c r="H323" s="50"/>
      <c r="I323" s="50"/>
      <c r="J323" s="51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spans="1:34" s="42" customFormat="1" ht="40" customHeight="1" x14ac:dyDescent="0.25">
      <c r="A324" s="106"/>
      <c r="B324" s="44"/>
      <c r="C324" s="49"/>
      <c r="D324" s="49"/>
      <c r="E324" s="49"/>
      <c r="F324" s="49"/>
      <c r="G324" s="49"/>
      <c r="H324" s="50"/>
      <c r="I324" s="50"/>
      <c r="J324" s="51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spans="1:34" s="42" customFormat="1" ht="40" customHeight="1" x14ac:dyDescent="0.25">
      <c r="A325" s="106"/>
      <c r="B325" s="44"/>
      <c r="C325" s="49"/>
      <c r="D325" s="49"/>
      <c r="E325" s="49"/>
      <c r="F325" s="49"/>
      <c r="G325" s="49"/>
      <c r="H325" s="50"/>
      <c r="I325" s="50"/>
      <c r="J325" s="51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spans="1:34" s="42" customFormat="1" ht="40" customHeight="1" x14ac:dyDescent="0.25">
      <c r="A326" s="106"/>
      <c r="B326" s="44"/>
      <c r="C326" s="49"/>
      <c r="D326" s="49"/>
      <c r="E326" s="49"/>
      <c r="F326" s="49"/>
      <c r="G326" s="49"/>
      <c r="H326" s="50"/>
      <c r="I326" s="50"/>
      <c r="J326" s="51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spans="1:34" s="42" customFormat="1" ht="40" customHeight="1" x14ac:dyDescent="0.25">
      <c r="A327" s="106"/>
      <c r="B327" s="44"/>
      <c r="C327" s="49"/>
      <c r="D327" s="49"/>
      <c r="E327" s="49"/>
      <c r="F327" s="49"/>
      <c r="G327" s="49"/>
      <c r="H327" s="50"/>
      <c r="I327" s="50"/>
      <c r="J327" s="51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spans="1:34" s="42" customFormat="1" ht="40" customHeight="1" x14ac:dyDescent="0.25">
      <c r="A328" s="106"/>
      <c r="B328" s="44"/>
      <c r="C328" s="49"/>
      <c r="D328" s="49"/>
      <c r="E328" s="49"/>
      <c r="F328" s="49"/>
      <c r="G328" s="49"/>
      <c r="H328" s="50"/>
      <c r="I328" s="50"/>
      <c r="J328" s="51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spans="1:34" s="42" customFormat="1" ht="40" customHeight="1" x14ac:dyDescent="0.25">
      <c r="A329" s="106"/>
      <c r="B329" s="44"/>
      <c r="C329" s="49"/>
      <c r="D329" s="49"/>
      <c r="E329" s="49"/>
      <c r="F329" s="49"/>
      <c r="G329" s="49"/>
      <c r="H329" s="50"/>
      <c r="I329" s="50"/>
      <c r="J329" s="51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spans="1:34" s="42" customFormat="1" ht="40" customHeight="1" x14ac:dyDescent="0.25">
      <c r="A330" s="106"/>
      <c r="B330" s="44"/>
      <c r="C330" s="49"/>
      <c r="D330" s="49"/>
      <c r="E330" s="49"/>
      <c r="F330" s="49"/>
      <c r="G330" s="49"/>
      <c r="H330" s="50"/>
      <c r="I330" s="50"/>
      <c r="J330" s="51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spans="1:34" s="42" customFormat="1" ht="40" customHeight="1" x14ac:dyDescent="0.25">
      <c r="A331" s="106"/>
      <c r="B331" s="44"/>
      <c r="C331" s="49"/>
      <c r="D331" s="49"/>
      <c r="E331" s="49"/>
      <c r="F331" s="49"/>
      <c r="G331" s="49"/>
      <c r="H331" s="50"/>
      <c r="I331" s="50"/>
      <c r="J331" s="51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 spans="1:34" s="42" customFormat="1" ht="40" customHeight="1" x14ac:dyDescent="0.25">
      <c r="A332" s="106"/>
      <c r="B332" s="44"/>
      <c r="C332" s="49"/>
      <c r="D332" s="49"/>
      <c r="E332" s="49"/>
      <c r="F332" s="49"/>
      <c r="G332" s="49"/>
      <c r="H332" s="50"/>
      <c r="I332" s="50"/>
      <c r="J332" s="51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spans="1:34" s="42" customFormat="1" ht="40" customHeight="1" x14ac:dyDescent="0.25">
      <c r="A333" s="106"/>
      <c r="B333" s="44"/>
      <c r="C333" s="49"/>
      <c r="D333" s="49"/>
      <c r="E333" s="49"/>
      <c r="F333" s="49"/>
      <c r="G333" s="49"/>
      <c r="H333" s="50"/>
      <c r="I333" s="50"/>
      <c r="J333" s="51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spans="1:34" s="42" customFormat="1" ht="40" customHeight="1" x14ac:dyDescent="0.25">
      <c r="A334" s="106"/>
      <c r="B334" s="44"/>
      <c r="C334" s="49"/>
      <c r="D334" s="49"/>
      <c r="E334" s="49"/>
      <c r="F334" s="49"/>
      <c r="G334" s="49"/>
      <c r="H334" s="50"/>
      <c r="I334" s="50"/>
      <c r="J334" s="51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spans="1:34" s="42" customFormat="1" ht="40" customHeight="1" x14ac:dyDescent="0.25">
      <c r="A335" s="106"/>
      <c r="B335" s="44"/>
      <c r="C335" s="49"/>
      <c r="D335" s="49"/>
      <c r="E335" s="49"/>
      <c r="F335" s="49"/>
      <c r="G335" s="49"/>
      <c r="H335" s="50"/>
      <c r="I335" s="50"/>
      <c r="J335" s="51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spans="1:34" s="42" customFormat="1" ht="40" customHeight="1" x14ac:dyDescent="0.25">
      <c r="A336" s="106"/>
      <c r="B336" s="44"/>
      <c r="C336" s="49"/>
      <c r="D336" s="49"/>
      <c r="E336" s="49"/>
      <c r="F336" s="49"/>
      <c r="G336" s="49"/>
      <c r="H336" s="50"/>
      <c r="I336" s="50"/>
      <c r="J336" s="51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spans="1:34" s="42" customFormat="1" ht="40" customHeight="1" x14ac:dyDescent="0.25">
      <c r="A337" s="106"/>
      <c r="B337" s="44"/>
      <c r="C337" s="49"/>
      <c r="D337" s="49"/>
      <c r="E337" s="49"/>
      <c r="F337" s="49"/>
      <c r="G337" s="49"/>
      <c r="H337" s="50"/>
      <c r="I337" s="50"/>
      <c r="J337" s="51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spans="1:34" s="42" customFormat="1" ht="40" customHeight="1" x14ac:dyDescent="0.25">
      <c r="A338" s="106"/>
      <c r="B338" s="44"/>
      <c r="C338" s="49"/>
      <c r="D338" s="49"/>
      <c r="E338" s="49"/>
      <c r="F338" s="49"/>
      <c r="G338" s="49"/>
      <c r="H338" s="50"/>
      <c r="I338" s="50"/>
      <c r="J338" s="51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spans="1:34" s="42" customFormat="1" ht="40" customHeight="1" x14ac:dyDescent="0.25">
      <c r="A339" s="106"/>
      <c r="B339" s="44"/>
      <c r="C339" s="49"/>
      <c r="D339" s="49"/>
      <c r="E339" s="49"/>
      <c r="F339" s="49"/>
      <c r="G339" s="49"/>
      <c r="H339" s="50"/>
      <c r="I339" s="50"/>
      <c r="J339" s="51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spans="1:34" s="42" customFormat="1" ht="40" customHeight="1" x14ac:dyDescent="0.25">
      <c r="A340" s="106"/>
      <c r="B340" s="44"/>
      <c r="C340" s="49"/>
      <c r="D340" s="49"/>
      <c r="E340" s="49"/>
      <c r="F340" s="49"/>
      <c r="G340" s="49"/>
      <c r="H340" s="50"/>
      <c r="I340" s="50"/>
      <c r="J340" s="51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spans="1:34" s="42" customFormat="1" ht="40" customHeight="1" x14ac:dyDescent="0.25">
      <c r="A341" s="106"/>
      <c r="B341" s="44"/>
      <c r="C341" s="49"/>
      <c r="D341" s="49"/>
      <c r="E341" s="49"/>
      <c r="F341" s="49"/>
      <c r="G341" s="49"/>
      <c r="H341" s="50"/>
      <c r="I341" s="50"/>
      <c r="J341" s="51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spans="1:34" s="42" customFormat="1" ht="40" customHeight="1" x14ac:dyDescent="0.25">
      <c r="A342" s="106"/>
      <c r="B342" s="44"/>
      <c r="C342" s="49"/>
      <c r="D342" s="49"/>
      <c r="E342" s="49"/>
      <c r="F342" s="49"/>
      <c r="G342" s="49"/>
      <c r="H342" s="50"/>
      <c r="I342" s="50"/>
      <c r="J342" s="51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spans="1:34" s="42" customFormat="1" ht="40" customHeight="1" x14ac:dyDescent="0.25">
      <c r="A343" s="106"/>
      <c r="B343" s="44"/>
      <c r="C343" s="49"/>
      <c r="D343" s="49"/>
      <c r="E343" s="49"/>
      <c r="F343" s="49"/>
      <c r="G343" s="49"/>
      <c r="H343" s="50"/>
      <c r="I343" s="50"/>
      <c r="J343" s="51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spans="1:34" s="42" customFormat="1" ht="40" customHeight="1" x14ac:dyDescent="0.25">
      <c r="A344" s="106"/>
      <c r="B344" s="44"/>
      <c r="C344" s="49"/>
      <c r="D344" s="49"/>
      <c r="E344" s="49"/>
      <c r="F344" s="49"/>
      <c r="G344" s="49"/>
      <c r="H344" s="50"/>
      <c r="I344" s="50"/>
      <c r="J344" s="51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spans="1:34" s="42" customFormat="1" ht="40" customHeight="1" x14ac:dyDescent="0.25">
      <c r="A345" s="106"/>
      <c r="B345" s="44"/>
      <c r="C345" s="49"/>
      <c r="D345" s="49"/>
      <c r="E345" s="49"/>
      <c r="F345" s="49"/>
      <c r="G345" s="49"/>
      <c r="H345" s="50"/>
      <c r="I345" s="50"/>
      <c r="J345" s="51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spans="1:34" s="42" customFormat="1" ht="40" customHeight="1" x14ac:dyDescent="0.25">
      <c r="A346" s="106"/>
      <c r="B346" s="44"/>
      <c r="C346" s="49"/>
      <c r="D346" s="49"/>
      <c r="E346" s="49"/>
      <c r="F346" s="49"/>
      <c r="G346" s="49"/>
      <c r="H346" s="50"/>
      <c r="I346" s="50"/>
      <c r="J346" s="51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spans="1:34" s="42" customFormat="1" ht="40" customHeight="1" x14ac:dyDescent="0.25">
      <c r="A347" s="106"/>
      <c r="B347" s="44"/>
      <c r="C347" s="49"/>
      <c r="D347" s="49"/>
      <c r="E347" s="49"/>
      <c r="F347" s="49"/>
      <c r="G347" s="49"/>
      <c r="H347" s="50"/>
      <c r="I347" s="50"/>
      <c r="J347" s="51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spans="1:34" s="42" customFormat="1" ht="40" customHeight="1" x14ac:dyDescent="0.25">
      <c r="A348" s="106"/>
      <c r="B348" s="44"/>
      <c r="C348" s="49"/>
      <c r="D348" s="49"/>
      <c r="E348" s="49"/>
      <c r="F348" s="49"/>
      <c r="G348" s="49"/>
      <c r="H348" s="50"/>
      <c r="I348" s="50"/>
      <c r="J348" s="51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spans="1:34" s="42" customFormat="1" ht="40" customHeight="1" x14ac:dyDescent="0.25">
      <c r="A349" s="106"/>
      <c r="B349" s="44"/>
      <c r="C349" s="49"/>
      <c r="D349" s="49"/>
      <c r="E349" s="49"/>
      <c r="F349" s="49"/>
      <c r="G349" s="49"/>
      <c r="H349" s="50"/>
      <c r="I349" s="50"/>
      <c r="J349" s="51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spans="1:34" s="42" customFormat="1" ht="40" customHeight="1" x14ac:dyDescent="0.25">
      <c r="A350" s="106"/>
      <c r="B350" s="44"/>
      <c r="C350" s="49"/>
      <c r="D350" s="49"/>
      <c r="E350" s="49"/>
      <c r="F350" s="49"/>
      <c r="G350" s="49"/>
      <c r="H350" s="50"/>
      <c r="I350" s="50"/>
      <c r="J350" s="51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spans="1:34" s="42" customFormat="1" ht="40" customHeight="1" x14ac:dyDescent="0.25">
      <c r="A351" s="106"/>
      <c r="B351" s="44"/>
      <c r="C351" s="49"/>
      <c r="D351" s="49"/>
      <c r="E351" s="49"/>
      <c r="F351" s="49"/>
      <c r="G351" s="49"/>
      <c r="H351" s="50"/>
      <c r="I351" s="50"/>
      <c r="J351" s="51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spans="1:34" s="42" customFormat="1" ht="40" customHeight="1" x14ac:dyDescent="0.25">
      <c r="A352" s="106"/>
      <c r="B352" s="44"/>
      <c r="C352" s="49"/>
      <c r="D352" s="49"/>
      <c r="E352" s="49"/>
      <c r="F352" s="49"/>
      <c r="G352" s="49"/>
      <c r="H352" s="50"/>
      <c r="I352" s="50"/>
      <c r="J352" s="51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spans="1:34" s="42" customFormat="1" ht="40" customHeight="1" x14ac:dyDescent="0.25">
      <c r="A353" s="106"/>
      <c r="B353" s="44"/>
      <c r="C353" s="49"/>
      <c r="D353" s="49"/>
      <c r="E353" s="49"/>
      <c r="F353" s="49"/>
      <c r="G353" s="49"/>
      <c r="H353" s="50"/>
      <c r="I353" s="50"/>
      <c r="J353" s="51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spans="1:34" s="42" customFormat="1" ht="40" customHeight="1" x14ac:dyDescent="0.25">
      <c r="A354" s="106"/>
      <c r="B354" s="44"/>
      <c r="C354" s="49"/>
      <c r="D354" s="49"/>
      <c r="E354" s="49"/>
      <c r="F354" s="49"/>
      <c r="G354" s="49"/>
      <c r="H354" s="50"/>
      <c r="I354" s="50"/>
      <c r="J354" s="51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spans="1:34" s="42" customFormat="1" ht="40" customHeight="1" x14ac:dyDescent="0.25">
      <c r="A355" s="106"/>
      <c r="B355" s="44"/>
      <c r="C355" s="49"/>
      <c r="D355" s="49"/>
      <c r="E355" s="49"/>
      <c r="F355" s="49"/>
      <c r="G355" s="49"/>
      <c r="H355" s="50"/>
      <c r="I355" s="50"/>
      <c r="J355" s="51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 spans="1:34" s="42" customFormat="1" ht="40" customHeight="1" x14ac:dyDescent="0.25">
      <c r="A356" s="106"/>
      <c r="B356" s="44"/>
      <c r="C356" s="49"/>
      <c r="D356" s="49"/>
      <c r="E356" s="49"/>
      <c r="F356" s="49"/>
      <c r="G356" s="49"/>
      <c r="H356" s="50"/>
      <c r="I356" s="50"/>
      <c r="J356" s="51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 spans="1:34" s="42" customFormat="1" ht="40" customHeight="1" x14ac:dyDescent="0.25">
      <c r="A357" s="106"/>
      <c r="B357" s="44"/>
      <c r="C357" s="49"/>
      <c r="D357" s="49"/>
      <c r="E357" s="49"/>
      <c r="F357" s="49"/>
      <c r="G357" s="49"/>
      <c r="H357" s="50"/>
      <c r="I357" s="50"/>
      <c r="J357" s="51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spans="1:34" s="42" customFormat="1" ht="40" customHeight="1" x14ac:dyDescent="0.25">
      <c r="A358" s="106"/>
      <c r="B358" s="44"/>
      <c r="C358" s="49"/>
      <c r="D358" s="49"/>
      <c r="E358" s="49"/>
      <c r="F358" s="49"/>
      <c r="G358" s="49"/>
      <c r="H358" s="50"/>
      <c r="I358" s="50"/>
      <c r="J358" s="51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spans="1:34" s="42" customFormat="1" ht="40" customHeight="1" x14ac:dyDescent="0.25">
      <c r="A359" s="106"/>
      <c r="B359" s="44"/>
      <c r="C359" s="49"/>
      <c r="D359" s="49"/>
      <c r="E359" s="49"/>
      <c r="F359" s="49"/>
      <c r="G359" s="49"/>
      <c r="H359" s="50"/>
      <c r="I359" s="50"/>
      <c r="J359" s="51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spans="1:34" s="42" customFormat="1" ht="40" customHeight="1" x14ac:dyDescent="0.25">
      <c r="A360" s="106"/>
      <c r="B360" s="44"/>
      <c r="C360" s="49"/>
      <c r="D360" s="49"/>
      <c r="E360" s="49"/>
      <c r="F360" s="49"/>
      <c r="G360" s="49"/>
      <c r="H360" s="50"/>
      <c r="I360" s="50"/>
      <c r="J360" s="51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spans="1:34" s="42" customFormat="1" ht="40" customHeight="1" x14ac:dyDescent="0.25">
      <c r="A361" s="106"/>
      <c r="B361" s="44"/>
      <c r="C361" s="49"/>
      <c r="D361" s="49"/>
      <c r="E361" s="49"/>
      <c r="F361" s="49"/>
      <c r="G361" s="49"/>
      <c r="H361" s="50"/>
      <c r="I361" s="50"/>
      <c r="J361" s="51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spans="1:34" s="42" customFormat="1" ht="40" customHeight="1" x14ac:dyDescent="0.25">
      <c r="A362" s="106"/>
      <c r="B362" s="44"/>
      <c r="C362" s="49"/>
      <c r="D362" s="49"/>
      <c r="E362" s="49"/>
      <c r="F362" s="49"/>
      <c r="G362" s="49"/>
      <c r="H362" s="50"/>
      <c r="I362" s="50"/>
      <c r="J362" s="51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spans="1:34" s="42" customFormat="1" ht="40" customHeight="1" x14ac:dyDescent="0.25">
      <c r="A363" s="106"/>
      <c r="B363" s="44"/>
      <c r="C363" s="49"/>
      <c r="D363" s="49"/>
      <c r="E363" s="49"/>
      <c r="F363" s="49"/>
      <c r="G363" s="49"/>
      <c r="H363" s="50"/>
      <c r="I363" s="50"/>
      <c r="J363" s="51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spans="1:34" s="42" customFormat="1" ht="40" customHeight="1" x14ac:dyDescent="0.25">
      <c r="A364" s="106"/>
      <c r="B364" s="44"/>
      <c r="C364" s="49"/>
      <c r="D364" s="49"/>
      <c r="E364" s="49"/>
      <c r="F364" s="49"/>
      <c r="G364" s="49"/>
      <c r="H364" s="50"/>
      <c r="I364" s="50"/>
      <c r="J364" s="51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spans="1:34" s="42" customFormat="1" ht="40" customHeight="1" x14ac:dyDescent="0.25">
      <c r="A365" s="106"/>
      <c r="B365" s="44"/>
      <c r="C365" s="49"/>
      <c r="D365" s="49"/>
      <c r="E365" s="49"/>
      <c r="F365" s="49"/>
      <c r="G365" s="49"/>
      <c r="H365" s="50"/>
      <c r="I365" s="50"/>
      <c r="J365" s="51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spans="1:34" s="42" customFormat="1" ht="40" customHeight="1" x14ac:dyDescent="0.25">
      <c r="A366" s="106"/>
      <c r="B366" s="44"/>
      <c r="C366" s="49"/>
      <c r="D366" s="49"/>
      <c r="E366" s="49"/>
      <c r="F366" s="49"/>
      <c r="G366" s="49"/>
      <c r="H366" s="50"/>
      <c r="I366" s="50"/>
      <c r="J366" s="51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spans="1:34" s="42" customFormat="1" ht="40" customHeight="1" x14ac:dyDescent="0.25">
      <c r="A367" s="106"/>
      <c r="B367" s="44"/>
      <c r="C367" s="49"/>
      <c r="D367" s="49"/>
      <c r="E367" s="49"/>
      <c r="F367" s="49"/>
      <c r="G367" s="49"/>
      <c r="H367" s="50"/>
      <c r="I367" s="50"/>
      <c r="J367" s="51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spans="1:34" s="42" customFormat="1" ht="40" customHeight="1" x14ac:dyDescent="0.25">
      <c r="A368" s="106"/>
      <c r="B368" s="44"/>
      <c r="C368" s="49"/>
      <c r="D368" s="49"/>
      <c r="E368" s="49"/>
      <c r="F368" s="49"/>
      <c r="G368" s="49"/>
      <c r="H368" s="50"/>
      <c r="I368" s="50"/>
      <c r="J368" s="51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spans="1:34" s="42" customFormat="1" ht="40" customHeight="1" x14ac:dyDescent="0.25">
      <c r="A369" s="106"/>
      <c r="B369" s="44"/>
      <c r="C369" s="49"/>
      <c r="D369" s="49"/>
      <c r="E369" s="49"/>
      <c r="F369" s="49"/>
      <c r="G369" s="49"/>
      <c r="H369" s="50"/>
      <c r="I369" s="50"/>
      <c r="J369" s="51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spans="1:34" s="42" customFormat="1" ht="40" customHeight="1" x14ac:dyDescent="0.25">
      <c r="A370" s="106"/>
      <c r="B370" s="44"/>
      <c r="C370" s="49"/>
      <c r="D370" s="49"/>
      <c r="E370" s="49"/>
      <c r="F370" s="49"/>
      <c r="G370" s="49"/>
      <c r="H370" s="50"/>
      <c r="I370" s="50"/>
      <c r="J370" s="51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spans="1:34" s="42" customFormat="1" ht="40" customHeight="1" x14ac:dyDescent="0.25">
      <c r="A371" s="106"/>
      <c r="B371" s="44"/>
      <c r="C371" s="49"/>
      <c r="D371" s="49"/>
      <c r="E371" s="49"/>
      <c r="F371" s="49"/>
      <c r="G371" s="49"/>
      <c r="H371" s="50"/>
      <c r="I371" s="50"/>
      <c r="J371" s="51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spans="1:34" s="42" customFormat="1" ht="40" customHeight="1" x14ac:dyDescent="0.25">
      <c r="A372" s="106"/>
      <c r="B372" s="44"/>
      <c r="C372" s="49"/>
      <c r="D372" s="49"/>
      <c r="E372" s="49"/>
      <c r="F372" s="49"/>
      <c r="G372" s="49"/>
      <c r="H372" s="50"/>
      <c r="I372" s="50"/>
      <c r="J372" s="51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spans="1:34" s="42" customFormat="1" ht="40" customHeight="1" x14ac:dyDescent="0.25">
      <c r="A373" s="106"/>
      <c r="B373" s="44"/>
      <c r="C373" s="49"/>
      <c r="D373" s="49"/>
      <c r="E373" s="49"/>
      <c r="F373" s="49"/>
      <c r="G373" s="49"/>
      <c r="H373" s="50"/>
      <c r="I373" s="50"/>
      <c r="J373" s="51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spans="1:34" s="42" customFormat="1" ht="40" customHeight="1" x14ac:dyDescent="0.25">
      <c r="A374" s="106"/>
      <c r="B374" s="44"/>
      <c r="C374" s="49"/>
      <c r="D374" s="49"/>
      <c r="E374" s="49"/>
      <c r="F374" s="49"/>
      <c r="G374" s="49"/>
      <c r="H374" s="50"/>
      <c r="I374" s="50"/>
      <c r="J374" s="51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spans="1:34" s="42" customFormat="1" ht="40" customHeight="1" x14ac:dyDescent="0.25">
      <c r="A375" s="106"/>
      <c r="B375" s="44"/>
      <c r="C375" s="49"/>
      <c r="D375" s="49"/>
      <c r="E375" s="49"/>
      <c r="F375" s="49"/>
      <c r="G375" s="49"/>
      <c r="H375" s="50"/>
      <c r="I375" s="50"/>
      <c r="J375" s="51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spans="1:34" s="42" customFormat="1" ht="40" customHeight="1" x14ac:dyDescent="0.25">
      <c r="A376" s="106"/>
      <c r="B376" s="44"/>
      <c r="C376" s="49"/>
      <c r="D376" s="49"/>
      <c r="E376" s="49"/>
      <c r="F376" s="49"/>
      <c r="G376" s="49"/>
      <c r="H376" s="50"/>
      <c r="I376" s="50"/>
      <c r="J376" s="51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spans="1:34" s="42" customFormat="1" ht="40" customHeight="1" x14ac:dyDescent="0.25">
      <c r="A377" s="106"/>
      <c r="B377" s="44"/>
      <c r="C377" s="49"/>
      <c r="D377" s="49"/>
      <c r="E377" s="49"/>
      <c r="F377" s="49"/>
      <c r="G377" s="49"/>
      <c r="H377" s="50"/>
      <c r="I377" s="50"/>
      <c r="J377" s="51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spans="1:34" s="42" customFormat="1" ht="40" customHeight="1" x14ac:dyDescent="0.25">
      <c r="A378" s="106"/>
      <c r="B378" s="44"/>
      <c r="C378" s="49"/>
      <c r="D378" s="49"/>
      <c r="E378" s="49"/>
      <c r="F378" s="49"/>
      <c r="G378" s="49"/>
      <c r="H378" s="50"/>
      <c r="I378" s="50"/>
      <c r="J378" s="51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spans="1:34" s="42" customFormat="1" ht="40" customHeight="1" x14ac:dyDescent="0.25">
      <c r="A379" s="106"/>
      <c r="B379" s="44"/>
      <c r="C379" s="49"/>
      <c r="D379" s="49"/>
      <c r="E379" s="49"/>
      <c r="F379" s="49"/>
      <c r="G379" s="49"/>
      <c r="H379" s="50"/>
      <c r="I379" s="50"/>
      <c r="J379" s="51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spans="1:34" s="42" customFormat="1" ht="40" customHeight="1" x14ac:dyDescent="0.25">
      <c r="A380" s="106"/>
      <c r="B380" s="44"/>
      <c r="C380" s="49"/>
      <c r="D380" s="49"/>
      <c r="E380" s="49"/>
      <c r="F380" s="49"/>
      <c r="G380" s="49"/>
      <c r="H380" s="50"/>
      <c r="I380" s="50"/>
      <c r="J380" s="51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spans="1:34" s="42" customFormat="1" ht="40" customHeight="1" x14ac:dyDescent="0.25">
      <c r="A381" s="106"/>
      <c r="B381" s="44"/>
      <c r="C381" s="49"/>
      <c r="D381" s="49"/>
      <c r="E381" s="49"/>
      <c r="F381" s="49"/>
      <c r="G381" s="49"/>
      <c r="H381" s="50"/>
      <c r="I381" s="50"/>
      <c r="J381" s="51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spans="1:34" s="42" customFormat="1" ht="40" customHeight="1" x14ac:dyDescent="0.25">
      <c r="A382" s="106"/>
      <c r="B382" s="44"/>
      <c r="C382" s="49"/>
      <c r="D382" s="49"/>
      <c r="E382" s="49"/>
      <c r="F382" s="49"/>
      <c r="G382" s="49"/>
      <c r="H382" s="50"/>
      <c r="I382" s="50"/>
      <c r="J382" s="51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spans="1:34" s="42" customFormat="1" ht="40" customHeight="1" x14ac:dyDescent="0.25">
      <c r="A383" s="106"/>
      <c r="B383" s="44"/>
      <c r="C383" s="49"/>
      <c r="D383" s="49"/>
      <c r="E383" s="49"/>
      <c r="F383" s="49"/>
      <c r="G383" s="49"/>
      <c r="H383" s="50"/>
      <c r="I383" s="50"/>
      <c r="J383" s="51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spans="1:34" s="42" customFormat="1" ht="40" customHeight="1" x14ac:dyDescent="0.25">
      <c r="A384" s="106"/>
      <c r="B384" s="44"/>
      <c r="C384" s="49"/>
      <c r="D384" s="49"/>
      <c r="E384" s="49"/>
      <c r="F384" s="49"/>
      <c r="G384" s="49"/>
      <c r="H384" s="50"/>
      <c r="I384" s="50"/>
      <c r="J384" s="51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spans="1:34" s="42" customFormat="1" ht="40" customHeight="1" x14ac:dyDescent="0.25">
      <c r="A385" s="106"/>
      <c r="B385" s="44"/>
      <c r="C385" s="49"/>
      <c r="D385" s="49"/>
      <c r="E385" s="49"/>
      <c r="F385" s="49"/>
      <c r="G385" s="49"/>
      <c r="H385" s="50"/>
      <c r="I385" s="50"/>
      <c r="J385" s="51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spans="1:34" s="42" customFormat="1" ht="40" customHeight="1" x14ac:dyDescent="0.25">
      <c r="A386" s="106"/>
      <c r="B386" s="44"/>
      <c r="C386" s="49"/>
      <c r="D386" s="49"/>
      <c r="E386" s="49"/>
      <c r="F386" s="49"/>
      <c r="G386" s="49"/>
      <c r="H386" s="50"/>
      <c r="I386" s="50"/>
      <c r="J386" s="51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spans="1:34" s="42" customFormat="1" ht="40" customHeight="1" x14ac:dyDescent="0.25">
      <c r="A387" s="106"/>
      <c r="B387" s="44"/>
      <c r="C387" s="49"/>
      <c r="D387" s="49"/>
      <c r="E387" s="49"/>
      <c r="F387" s="49"/>
      <c r="G387" s="49"/>
      <c r="H387" s="50"/>
      <c r="I387" s="50"/>
      <c r="J387" s="51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spans="1:34" s="42" customFormat="1" ht="40" customHeight="1" x14ac:dyDescent="0.25">
      <c r="A388" s="106"/>
      <c r="B388" s="44"/>
      <c r="C388" s="49"/>
      <c r="D388" s="49"/>
      <c r="E388" s="49"/>
      <c r="F388" s="49"/>
      <c r="G388" s="49"/>
      <c r="H388" s="50"/>
      <c r="I388" s="50"/>
      <c r="J388" s="51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spans="1:34" s="42" customFormat="1" ht="40" customHeight="1" x14ac:dyDescent="0.25">
      <c r="A389" s="106"/>
      <c r="B389" s="44"/>
      <c r="C389" s="49"/>
      <c r="D389" s="49"/>
      <c r="E389" s="49"/>
      <c r="F389" s="49"/>
      <c r="G389" s="49"/>
      <c r="H389" s="50"/>
      <c r="I389" s="50"/>
      <c r="J389" s="51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spans="1:34" s="42" customFormat="1" ht="40" customHeight="1" x14ac:dyDescent="0.25">
      <c r="A390" s="106"/>
      <c r="B390" s="44"/>
      <c r="C390" s="49"/>
      <c r="D390" s="49"/>
      <c r="E390" s="49"/>
      <c r="F390" s="49"/>
      <c r="G390" s="49"/>
      <c r="H390" s="50"/>
      <c r="I390" s="50"/>
      <c r="J390" s="51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 spans="1:34" s="42" customFormat="1" ht="40" customHeight="1" x14ac:dyDescent="0.25">
      <c r="A391" s="106"/>
      <c r="B391" s="44"/>
      <c r="C391" s="49"/>
      <c r="D391" s="49"/>
      <c r="E391" s="49"/>
      <c r="F391" s="49"/>
      <c r="G391" s="49"/>
      <c r="H391" s="50"/>
      <c r="I391" s="50"/>
      <c r="J391" s="51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spans="1:34" s="42" customFormat="1" ht="40" customHeight="1" x14ac:dyDescent="0.25">
      <c r="A392" s="106"/>
      <c r="B392" s="44"/>
      <c r="C392" s="49"/>
      <c r="D392" s="49"/>
      <c r="E392" s="49"/>
      <c r="F392" s="49"/>
      <c r="G392" s="49"/>
      <c r="H392" s="50"/>
      <c r="I392" s="50"/>
      <c r="J392" s="51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spans="1:34" s="42" customFormat="1" ht="40" customHeight="1" x14ac:dyDescent="0.25">
      <c r="A393" s="106"/>
      <c r="B393" s="44"/>
      <c r="C393" s="49"/>
      <c r="D393" s="49"/>
      <c r="E393" s="49"/>
      <c r="F393" s="49"/>
      <c r="G393" s="49"/>
      <c r="H393" s="50"/>
      <c r="I393" s="50"/>
      <c r="J393" s="51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spans="1:34" s="42" customFormat="1" ht="40" customHeight="1" x14ac:dyDescent="0.25">
      <c r="A394" s="106"/>
      <c r="B394" s="44"/>
      <c r="C394" s="49"/>
      <c r="D394" s="49"/>
      <c r="E394" s="49"/>
      <c r="F394" s="49"/>
      <c r="G394" s="49"/>
      <c r="H394" s="50"/>
      <c r="I394" s="50"/>
      <c r="J394" s="51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spans="1:34" ht="40" customHeight="1" x14ac:dyDescent="0.25">
      <c r="A395" s="106"/>
      <c r="B395" s="45"/>
      <c r="C395" s="52"/>
      <c r="D395" s="52"/>
      <c r="E395" s="52"/>
      <c r="F395" s="52"/>
      <c r="G395" s="52"/>
      <c r="H395" s="53"/>
      <c r="I395" s="53"/>
      <c r="J395" s="54"/>
      <c r="K395" s="45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ht="40" customHeight="1" x14ac:dyDescent="0.25">
      <c r="A396" s="106"/>
      <c r="B396" s="45"/>
      <c r="C396" s="52"/>
      <c r="D396" s="52"/>
      <c r="E396" s="52"/>
      <c r="F396" s="52"/>
      <c r="G396" s="52"/>
      <c r="H396" s="53"/>
      <c r="I396" s="53"/>
      <c r="J396" s="54"/>
      <c r="K396" s="45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ht="40" customHeight="1" x14ac:dyDescent="0.25">
      <c r="A397" s="106"/>
      <c r="B397" s="45"/>
      <c r="C397" s="52"/>
      <c r="D397" s="52"/>
      <c r="E397" s="52"/>
      <c r="F397" s="52"/>
      <c r="G397" s="52"/>
      <c r="H397" s="53"/>
      <c r="I397" s="53"/>
      <c r="J397" s="54"/>
      <c r="K397" s="45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ht="40" customHeight="1" x14ac:dyDescent="0.25">
      <c r="A398" s="106"/>
      <c r="B398" s="45"/>
      <c r="C398" s="52"/>
      <c r="D398" s="52"/>
      <c r="E398" s="52"/>
      <c r="F398" s="52"/>
      <c r="G398" s="52"/>
      <c r="H398" s="53"/>
      <c r="I398" s="53"/>
      <c r="J398" s="54"/>
      <c r="K398" s="45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ht="40" customHeight="1" x14ac:dyDescent="0.25">
      <c r="A399" s="106"/>
      <c r="B399" s="45"/>
      <c r="C399" s="52"/>
      <c r="D399" s="52"/>
      <c r="E399" s="52"/>
      <c r="F399" s="52"/>
      <c r="G399" s="52"/>
      <c r="H399" s="53"/>
      <c r="I399" s="53"/>
      <c r="J399" s="54"/>
      <c r="K399" s="45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ht="40" customHeight="1" x14ac:dyDescent="0.25">
      <c r="A400" s="106"/>
      <c r="B400" s="45"/>
      <c r="C400" s="52"/>
      <c r="D400" s="52"/>
      <c r="E400" s="52"/>
      <c r="F400" s="52"/>
      <c r="G400" s="52"/>
      <c r="H400" s="53"/>
      <c r="I400" s="53"/>
      <c r="J400" s="54"/>
      <c r="K400" s="45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</sheetData>
  <mergeCells count="5">
    <mergeCell ref="I1:I2"/>
    <mergeCell ref="J1:J2"/>
    <mergeCell ref="C1:D1"/>
    <mergeCell ref="C2:D2"/>
    <mergeCell ref="C3:D3"/>
  </mergeCells>
  <phoneticPr fontId="0" type="noConversion"/>
  <conditionalFormatting sqref="G1 G3 B5:K5 B6:J11 B12:K17 B18:F18 H18:K18 B19:B41 C19:K42 B43:K234">
    <cfRule type="cellIs" dxfId="0" priority="2" operator="greaterThan">
      <formula>0</formula>
    </cfRule>
  </conditionalFormatting>
  <printOptions horizontalCentered="1" verticalCentered="1" gridLines="1"/>
  <pageMargins left="0.39370078740157483" right="0.39370078740157483" top="0.59055118110236227" bottom="0.59055118110236227" header="0.51181102362204722" footer="0.51181102362204722"/>
  <pageSetup paperSize="9" scale="36" fitToHeight="5" orientation="portrait" blackAndWhite="1" horizontalDpi="4294967293" r:id="rId1"/>
  <headerFooter alignWithMargins="0">
    <oddHeader>&amp;C&amp;12&amp;F</oddHeader>
    <oddFooter>&amp;C&amp;F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33"/>
  <sheetViews>
    <sheetView zoomScaleNormal="100" workbookViewId="0">
      <pane ySplit="9" topLeftCell="A10" activePane="bottomLeft" state="frozen"/>
      <selection pane="bottomLeft" activeCell="R37" sqref="R37"/>
    </sheetView>
  </sheetViews>
  <sheetFormatPr defaultColWidth="9.26953125" defaultRowHeight="14" x14ac:dyDescent="0.25"/>
  <cols>
    <col min="1" max="1" width="4.7265625" style="11" customWidth="1"/>
    <col min="2" max="2" width="37.7265625" style="12" customWidth="1"/>
    <col min="3" max="3" width="15.26953125" style="2" customWidth="1"/>
    <col min="4" max="4" width="1.7265625" style="144" customWidth="1"/>
    <col min="5" max="7" width="15.7265625" style="33" customWidth="1"/>
    <col min="8" max="9" width="5.7265625" style="114" customWidth="1"/>
    <col min="10" max="10" width="1.7265625" style="144" customWidth="1"/>
    <col min="11" max="11" width="15.7265625" style="148" customWidth="1"/>
    <col min="12" max="12" width="1.7265625" style="144" customWidth="1"/>
    <col min="13" max="13" width="15.7265625" style="33" customWidth="1"/>
    <col min="14" max="14" width="1.7265625" style="145" customWidth="1"/>
    <col min="15" max="15" width="53" style="5" customWidth="1"/>
    <col min="16" max="23" width="9.26953125" style="26"/>
    <col min="24" max="16384" width="9.26953125" style="3"/>
  </cols>
  <sheetData>
    <row r="1" spans="1:23" s="26" customFormat="1" ht="14.5" thickBot="1" x14ac:dyDescent="0.3">
      <c r="A1" s="115"/>
      <c r="C1" s="24"/>
      <c r="D1" s="133"/>
      <c r="E1" s="27"/>
      <c r="F1" s="134"/>
      <c r="G1" s="24"/>
      <c r="H1" s="135"/>
      <c r="I1" s="135"/>
      <c r="J1" s="133"/>
      <c r="K1" s="136"/>
      <c r="L1" s="133"/>
      <c r="M1" s="24"/>
      <c r="N1" s="137"/>
      <c r="O1" s="25"/>
    </row>
    <row r="2" spans="1:23" s="26" customFormat="1" x14ac:dyDescent="0.25">
      <c r="A2" s="115"/>
      <c r="C2" s="24"/>
      <c r="D2" s="133"/>
      <c r="E2" s="24"/>
      <c r="F2" s="138"/>
      <c r="G2" s="24"/>
      <c r="H2" s="135"/>
      <c r="I2" s="135"/>
      <c r="J2" s="133"/>
      <c r="K2" s="198" t="s">
        <v>22</v>
      </c>
      <c r="L2" s="199"/>
      <c r="M2" s="139">
        <v>0</v>
      </c>
      <c r="N2" s="137"/>
      <c r="O2" s="25"/>
    </row>
    <row r="3" spans="1:23" s="26" customFormat="1" x14ac:dyDescent="0.25">
      <c r="A3" s="115"/>
      <c r="C3" s="24"/>
      <c r="D3" s="133"/>
      <c r="E3" s="24"/>
      <c r="F3" s="138"/>
      <c r="G3" s="24"/>
      <c r="H3" s="135"/>
      <c r="I3" s="135"/>
      <c r="J3" s="133"/>
      <c r="K3" s="200" t="s">
        <v>23</v>
      </c>
      <c r="L3" s="201">
        <v>0</v>
      </c>
      <c r="M3" s="140">
        <v>0</v>
      </c>
      <c r="N3" s="137"/>
      <c r="O3" s="25"/>
    </row>
    <row r="4" spans="1:23" s="26" customFormat="1" ht="14.5" thickBot="1" x14ac:dyDescent="0.3">
      <c r="A4" s="115"/>
      <c r="B4" s="116"/>
      <c r="C4" s="24"/>
      <c r="D4" s="133"/>
      <c r="E4" s="27"/>
      <c r="F4" s="134"/>
      <c r="G4" s="24"/>
      <c r="H4" s="135"/>
      <c r="I4" s="135"/>
      <c r="J4" s="133"/>
      <c r="K4" s="202" t="s">
        <v>24</v>
      </c>
      <c r="L4" s="203">
        <v>0</v>
      </c>
      <c r="M4" s="141">
        <v>0</v>
      </c>
      <c r="N4" s="137"/>
      <c r="O4" s="25"/>
    </row>
    <row r="5" spans="1:23" s="26" customFormat="1" ht="14.5" thickBot="1" x14ac:dyDescent="0.3">
      <c r="A5" s="29"/>
      <c r="B5" s="119" t="s">
        <v>25</v>
      </c>
      <c r="C5" s="24"/>
      <c r="D5" s="133"/>
      <c r="E5" s="24"/>
      <c r="F5" s="138"/>
      <c r="G5" s="24"/>
      <c r="H5" s="135"/>
      <c r="I5" s="135"/>
      <c r="J5" s="133"/>
      <c r="K5" s="198" t="s">
        <v>26</v>
      </c>
      <c r="L5" s="199">
        <v>0</v>
      </c>
      <c r="M5" s="139">
        <v>0</v>
      </c>
      <c r="N5" s="137"/>
      <c r="O5" s="25"/>
    </row>
    <row r="6" spans="1:23" ht="16.5" customHeight="1" thickBot="1" x14ac:dyDescent="0.3">
      <c r="A6" s="118"/>
      <c r="B6" s="120" t="str">
        <f>IF('LOSS LIST'!G1  =0, "- -",'LOSS LIST'!G1)</f>
        <v>- -</v>
      </c>
      <c r="C6" s="24"/>
      <c r="D6" s="133"/>
      <c r="E6" s="192" t="s">
        <v>27</v>
      </c>
      <c r="F6" s="193"/>
      <c r="G6" s="194"/>
      <c r="H6" s="188" t="s">
        <v>28</v>
      </c>
      <c r="I6" s="189"/>
      <c r="J6" s="133"/>
      <c r="K6" s="204" t="s">
        <v>29</v>
      </c>
      <c r="L6" s="205">
        <v>0</v>
      </c>
      <c r="M6" s="142">
        <v>0</v>
      </c>
      <c r="N6" s="137"/>
      <c r="O6" s="25"/>
    </row>
    <row r="7" spans="1:23" ht="15.75" customHeight="1" thickBot="1" x14ac:dyDescent="0.3">
      <c r="A7" s="4"/>
      <c r="B7" s="121" t="str">
        <f>IF('LOSS LIST'!G2  =0, "- -",'LOSS LIST'!G2)</f>
        <v>- -</v>
      </c>
      <c r="C7" s="27"/>
      <c r="D7" s="133"/>
      <c r="E7" s="195"/>
      <c r="F7" s="196"/>
      <c r="G7" s="197"/>
      <c r="H7" s="190"/>
      <c r="I7" s="191"/>
      <c r="J7" s="133"/>
      <c r="K7" s="136"/>
      <c r="L7" s="133"/>
      <c r="M7" s="24"/>
      <c r="N7" s="137"/>
      <c r="O7" s="25"/>
    </row>
    <row r="8" spans="1:23" ht="42.5" thickBot="1" x14ac:dyDescent="0.3">
      <c r="A8" s="34"/>
      <c r="B8" s="180" t="s">
        <v>30</v>
      </c>
      <c r="C8" s="132" t="s">
        <v>31</v>
      </c>
      <c r="D8" s="143"/>
      <c r="E8" s="186" t="s">
        <v>32</v>
      </c>
      <c r="F8" s="122" t="s">
        <v>33</v>
      </c>
      <c r="G8" s="122" t="s">
        <v>34</v>
      </c>
      <c r="H8" s="182" t="s">
        <v>35</v>
      </c>
      <c r="I8" s="184" t="s">
        <v>36</v>
      </c>
      <c r="J8" s="143"/>
      <c r="K8" s="40" t="s">
        <v>37</v>
      </c>
      <c r="L8" s="143"/>
      <c r="M8" s="124" t="s">
        <v>38</v>
      </c>
      <c r="N8" s="143"/>
      <c r="O8" s="178" t="s">
        <v>39</v>
      </c>
    </row>
    <row r="9" spans="1:23" s="7" customFormat="1" ht="14.5" thickBot="1" x14ac:dyDescent="0.3">
      <c r="A9" s="6"/>
      <c r="B9" s="181"/>
      <c r="C9" s="117">
        <f>SUM(C10:C239)</f>
        <v>0</v>
      </c>
      <c r="D9" s="30"/>
      <c r="E9" s="187"/>
      <c r="F9" s="123">
        <f>SUM(F10:F239)</f>
        <v>0</v>
      </c>
      <c r="G9" s="123">
        <f>SUM(G10:G239)</f>
        <v>0</v>
      </c>
      <c r="H9" s="183"/>
      <c r="I9" s="185"/>
      <c r="J9" s="30"/>
      <c r="K9" s="41">
        <f>SUM(K10:K239)</f>
        <v>0</v>
      </c>
      <c r="L9" s="30"/>
      <c r="M9" s="123">
        <f>SUM(M10:M239)</f>
        <v>0</v>
      </c>
      <c r="N9" s="29"/>
      <c r="O9" s="179"/>
      <c r="P9" s="28"/>
      <c r="Q9" s="28"/>
      <c r="R9" s="28"/>
      <c r="S9" s="28"/>
      <c r="T9" s="28"/>
      <c r="U9" s="28"/>
      <c r="V9" s="28"/>
      <c r="W9" s="28"/>
    </row>
    <row r="10" spans="1:23" x14ac:dyDescent="0.25">
      <c r="A10" s="8">
        <v>1</v>
      </c>
      <c r="B10" s="9" t="str">
        <f>IF('LOSS LIST'!B5 = 0, "-", 'LOSS LIST'!B5)</f>
        <v>-</v>
      </c>
      <c r="C10" s="125" t="str">
        <f>IF('LOSS LIST'!J5 = 0, "-", 'LOSS LIST'!J5)</f>
        <v>-</v>
      </c>
      <c r="E10" s="31"/>
      <c r="F10" s="31"/>
      <c r="G10" s="31"/>
      <c r="H10" s="112"/>
      <c r="I10" s="150"/>
      <c r="K10" s="97"/>
      <c r="M10" s="127"/>
      <c r="O10" s="100"/>
    </row>
    <row r="11" spans="1:23" x14ac:dyDescent="0.25">
      <c r="A11" s="10">
        <v>2</v>
      </c>
      <c r="B11" s="9" t="str">
        <f>IF('LOSS LIST'!B6 = 0, "-", 'LOSS LIST'!B6)</f>
        <v>-</v>
      </c>
      <c r="C11" s="125" t="str">
        <f>IF('LOSS LIST'!J6 = 0, "-", 'LOSS LIST'!J6)</f>
        <v>-</v>
      </c>
      <c r="E11" s="32"/>
      <c r="H11" s="113"/>
      <c r="I11" s="151"/>
      <c r="K11" s="99"/>
      <c r="M11" s="128"/>
      <c r="O11" s="100"/>
    </row>
    <row r="12" spans="1:23" x14ac:dyDescent="0.25">
      <c r="A12" s="10">
        <v>3</v>
      </c>
      <c r="B12" s="9" t="str">
        <f>IF('LOSS LIST'!B7 = 0, "-", 'LOSS LIST'!B7)</f>
        <v>-</v>
      </c>
      <c r="C12" s="125" t="str">
        <f>IF('LOSS LIST'!J7 = 0, "-", 'LOSS LIST'!J7)</f>
        <v>-</v>
      </c>
      <c r="E12" s="32"/>
      <c r="F12" s="32"/>
      <c r="G12" s="32"/>
      <c r="H12" s="113"/>
      <c r="I12" s="151"/>
      <c r="K12" s="98"/>
      <c r="M12" s="129"/>
      <c r="O12" s="100"/>
    </row>
    <row r="13" spans="1:23" x14ac:dyDescent="0.25">
      <c r="A13" s="10">
        <v>4</v>
      </c>
      <c r="B13" s="9" t="str">
        <f>IF('LOSS LIST'!B8 = 0, "-", 'LOSS LIST'!B8)</f>
        <v>-</v>
      </c>
      <c r="C13" s="125" t="str">
        <f>IF('LOSS LIST'!J8 = 0, "-", 'LOSS LIST'!J8)</f>
        <v>-</v>
      </c>
      <c r="E13" s="32"/>
      <c r="F13" s="32"/>
      <c r="G13" s="32"/>
      <c r="H13" s="113"/>
      <c r="I13" s="151"/>
      <c r="K13" s="98"/>
      <c r="M13" s="129"/>
      <c r="O13" s="100"/>
    </row>
    <row r="14" spans="1:23" x14ac:dyDescent="0.25">
      <c r="A14" s="10">
        <v>5</v>
      </c>
      <c r="B14" s="9" t="str">
        <f>IF('LOSS LIST'!B9 = 0, "-", 'LOSS LIST'!B9)</f>
        <v>-</v>
      </c>
      <c r="C14" s="125" t="str">
        <f>IF('LOSS LIST'!J9 = 0, "-", 'LOSS LIST'!J9)</f>
        <v>-</v>
      </c>
      <c r="E14" s="32"/>
      <c r="F14" s="32"/>
      <c r="G14" s="32"/>
      <c r="H14" s="113"/>
      <c r="I14" s="151"/>
      <c r="K14" s="98"/>
      <c r="M14" s="129"/>
      <c r="O14" s="100"/>
    </row>
    <row r="15" spans="1:23" x14ac:dyDescent="0.25">
      <c r="A15" s="10">
        <v>6</v>
      </c>
      <c r="B15" s="9" t="str">
        <f>IF('LOSS LIST'!B10 = 0, "-", 'LOSS LIST'!B10)</f>
        <v>-</v>
      </c>
      <c r="C15" s="125" t="str">
        <f>IF('LOSS LIST'!J10 = 0, "-", 'LOSS LIST'!J10)</f>
        <v>-</v>
      </c>
      <c r="E15" s="32"/>
      <c r="F15" s="32"/>
      <c r="G15" s="32"/>
      <c r="H15" s="113"/>
      <c r="I15" s="151"/>
      <c r="K15" s="98"/>
      <c r="M15" s="129"/>
      <c r="O15" s="100"/>
    </row>
    <row r="16" spans="1:23" x14ac:dyDescent="0.25">
      <c r="A16" s="10">
        <v>7</v>
      </c>
      <c r="B16" s="9" t="str">
        <f>IF('LOSS LIST'!B11 = 0, "-", 'LOSS LIST'!B11)</f>
        <v>-</v>
      </c>
      <c r="C16" s="125" t="str">
        <f>IF('LOSS LIST'!J11 = 0, "-", 'LOSS LIST'!J11)</f>
        <v>-</v>
      </c>
      <c r="E16" s="32"/>
      <c r="F16" s="32"/>
      <c r="G16" s="32"/>
      <c r="H16" s="113"/>
      <c r="I16" s="151"/>
      <c r="K16" s="98"/>
      <c r="M16" s="129"/>
      <c r="O16" s="100"/>
    </row>
    <row r="17" spans="1:15" x14ac:dyDescent="0.25">
      <c r="A17" s="10">
        <v>8</v>
      </c>
      <c r="B17" s="9" t="str">
        <f>IF('LOSS LIST'!B12 = 0, "-", 'LOSS LIST'!B12)</f>
        <v>-</v>
      </c>
      <c r="C17" s="125" t="str">
        <f>IF('LOSS LIST'!J12 = 0, "-", 'LOSS LIST'!J12)</f>
        <v>-</v>
      </c>
      <c r="E17" s="32"/>
      <c r="F17" s="32"/>
      <c r="G17" s="32"/>
      <c r="H17" s="113"/>
      <c r="I17" s="151"/>
      <c r="K17" s="98"/>
      <c r="M17" s="129"/>
      <c r="O17" s="100"/>
    </row>
    <row r="18" spans="1:15" x14ac:dyDescent="0.25">
      <c r="A18" s="10">
        <v>9</v>
      </c>
      <c r="B18" s="9" t="str">
        <f>IF('LOSS LIST'!B13 = 0, "-", 'LOSS LIST'!B13)</f>
        <v>-</v>
      </c>
      <c r="C18" s="125" t="str">
        <f>IF('LOSS LIST'!J13 = 0, "-", 'LOSS LIST'!J13)</f>
        <v>-</v>
      </c>
      <c r="E18" s="32"/>
      <c r="F18" s="32"/>
      <c r="G18" s="32"/>
      <c r="H18" s="113"/>
      <c r="I18" s="151"/>
      <c r="K18" s="98"/>
      <c r="M18" s="129"/>
      <c r="O18" s="100"/>
    </row>
    <row r="19" spans="1:15" x14ac:dyDescent="0.25">
      <c r="A19" s="10">
        <v>10</v>
      </c>
      <c r="B19" s="9" t="str">
        <f>IF('LOSS LIST'!B14 = 0, "-", 'LOSS LIST'!B14)</f>
        <v>-</v>
      </c>
      <c r="C19" s="125" t="str">
        <f>IF('LOSS LIST'!J14 = 0, "-", 'LOSS LIST'!J14)</f>
        <v>-</v>
      </c>
      <c r="E19" s="32"/>
      <c r="F19" s="32"/>
      <c r="G19" s="32"/>
      <c r="H19" s="113"/>
      <c r="I19" s="151"/>
      <c r="K19" s="98"/>
      <c r="M19" s="129"/>
      <c r="O19" s="100"/>
    </row>
    <row r="20" spans="1:15" x14ac:dyDescent="0.25">
      <c r="A20" s="10">
        <v>11</v>
      </c>
      <c r="B20" s="9" t="str">
        <f>IF('LOSS LIST'!B15 = 0, "-", 'LOSS LIST'!B15)</f>
        <v>-</v>
      </c>
      <c r="C20" s="125" t="str">
        <f>IF('LOSS LIST'!J15 = 0, "-", 'LOSS LIST'!J15)</f>
        <v>-</v>
      </c>
      <c r="E20" s="32"/>
      <c r="F20" s="32"/>
      <c r="G20" s="32"/>
      <c r="H20" s="113"/>
      <c r="I20" s="151"/>
      <c r="K20" s="98"/>
      <c r="M20" s="129"/>
      <c r="O20" s="100"/>
    </row>
    <row r="21" spans="1:15" x14ac:dyDescent="0.25">
      <c r="A21" s="10">
        <v>12</v>
      </c>
      <c r="B21" s="9" t="str">
        <f>IF('LOSS LIST'!B16 = 0, "-", 'LOSS LIST'!B16)</f>
        <v>-</v>
      </c>
      <c r="C21" s="125" t="str">
        <f>IF('LOSS LIST'!J16 = 0, "-", 'LOSS LIST'!J16)</f>
        <v>-</v>
      </c>
      <c r="E21" s="32"/>
      <c r="F21" s="32"/>
      <c r="G21" s="32"/>
      <c r="H21" s="113"/>
      <c r="I21" s="151"/>
      <c r="K21" s="98"/>
      <c r="M21" s="129"/>
      <c r="O21" s="100"/>
    </row>
    <row r="22" spans="1:15" x14ac:dyDescent="0.25">
      <c r="A22" s="10">
        <v>13</v>
      </c>
      <c r="B22" s="9" t="str">
        <f>IF('LOSS LIST'!B17 = 0, "-", 'LOSS LIST'!B17)</f>
        <v>-</v>
      </c>
      <c r="C22" s="125" t="str">
        <f>IF('LOSS LIST'!J17 = 0, "-", 'LOSS LIST'!J17)</f>
        <v>-</v>
      </c>
      <c r="E22" s="32"/>
      <c r="F22" s="32"/>
      <c r="G22" s="32"/>
      <c r="H22" s="113"/>
      <c r="I22" s="151"/>
      <c r="K22" s="98"/>
      <c r="M22" s="129"/>
      <c r="O22" s="100"/>
    </row>
    <row r="23" spans="1:15" x14ac:dyDescent="0.25">
      <c r="A23" s="10">
        <v>14</v>
      </c>
      <c r="B23" s="9" t="str">
        <f>IF('LOSS LIST'!B18 = 0, "-", 'LOSS LIST'!B18)</f>
        <v>-</v>
      </c>
      <c r="C23" s="125" t="str">
        <f>IF('LOSS LIST'!J18 = 0, "-", 'LOSS LIST'!J18)</f>
        <v>-</v>
      </c>
      <c r="E23" s="32"/>
      <c r="F23" s="32"/>
      <c r="G23" s="32"/>
      <c r="H23" s="113"/>
      <c r="I23" s="151"/>
      <c r="K23" s="98"/>
      <c r="M23" s="129"/>
      <c r="O23" s="100"/>
    </row>
    <row r="24" spans="1:15" x14ac:dyDescent="0.25">
      <c r="A24" s="10">
        <v>15</v>
      </c>
      <c r="B24" s="9" t="str">
        <f>IF('LOSS LIST'!B19 = 0, "-", 'LOSS LIST'!B19)</f>
        <v>-</v>
      </c>
      <c r="C24" s="125" t="str">
        <f>IF('LOSS LIST'!J19 = 0, "-", 'LOSS LIST'!J19)</f>
        <v>-</v>
      </c>
      <c r="E24" s="32"/>
      <c r="F24" s="32"/>
      <c r="G24" s="32"/>
      <c r="H24" s="113"/>
      <c r="I24" s="151"/>
      <c r="K24" s="98"/>
      <c r="M24" s="129"/>
      <c r="O24" s="100"/>
    </row>
    <row r="25" spans="1:15" x14ac:dyDescent="0.25">
      <c r="A25" s="10">
        <v>16</v>
      </c>
      <c r="B25" s="9" t="str">
        <f>IF('LOSS LIST'!B20 = 0, "-", 'LOSS LIST'!B20)</f>
        <v>-</v>
      </c>
      <c r="C25" s="125" t="str">
        <f>IF('LOSS LIST'!J20 = 0, "-", 'LOSS LIST'!J20)</f>
        <v>-</v>
      </c>
      <c r="E25" s="32"/>
      <c r="F25" s="32"/>
      <c r="G25" s="32"/>
      <c r="H25" s="113"/>
      <c r="I25" s="151"/>
      <c r="K25" s="98"/>
      <c r="M25" s="129"/>
      <c r="O25" s="100"/>
    </row>
    <row r="26" spans="1:15" x14ac:dyDescent="0.25">
      <c r="A26" s="10">
        <v>17</v>
      </c>
      <c r="B26" s="9" t="str">
        <f>IF('LOSS LIST'!B21 = 0, "-", 'LOSS LIST'!B21)</f>
        <v>-</v>
      </c>
      <c r="C26" s="125" t="str">
        <f>IF('LOSS LIST'!J21 = 0, "-", 'LOSS LIST'!J21)</f>
        <v>-</v>
      </c>
      <c r="E26" s="32"/>
      <c r="F26" s="32"/>
      <c r="G26" s="32"/>
      <c r="H26" s="113"/>
      <c r="I26" s="151"/>
      <c r="K26" s="98"/>
      <c r="M26" s="129"/>
      <c r="O26" s="100"/>
    </row>
    <row r="27" spans="1:15" x14ac:dyDescent="0.25">
      <c r="A27" s="10">
        <v>18</v>
      </c>
      <c r="B27" s="9" t="str">
        <f>IF('LOSS LIST'!B22 = 0, "-", 'LOSS LIST'!B22)</f>
        <v>-</v>
      </c>
      <c r="C27" s="125" t="str">
        <f>IF('LOSS LIST'!J22 = 0, "-", 'LOSS LIST'!J22)</f>
        <v>-</v>
      </c>
      <c r="E27" s="32"/>
      <c r="F27" s="32"/>
      <c r="G27" s="32"/>
      <c r="H27" s="113"/>
      <c r="I27" s="151"/>
      <c r="K27" s="98"/>
      <c r="M27" s="129"/>
      <c r="O27" s="100"/>
    </row>
    <row r="28" spans="1:15" x14ac:dyDescent="0.25">
      <c r="A28" s="10">
        <v>19</v>
      </c>
      <c r="B28" s="9" t="str">
        <f>IF('LOSS LIST'!B23 = 0, "-", 'LOSS LIST'!B23)</f>
        <v>-</v>
      </c>
      <c r="C28" s="125" t="str">
        <f>IF('LOSS LIST'!J23 = 0, "-", 'LOSS LIST'!J23)</f>
        <v>-</v>
      </c>
      <c r="E28" s="32"/>
      <c r="F28" s="32"/>
      <c r="G28" s="32"/>
      <c r="H28" s="113"/>
      <c r="I28" s="151"/>
      <c r="K28" s="98"/>
      <c r="M28" s="129"/>
      <c r="O28" s="100"/>
    </row>
    <row r="29" spans="1:15" x14ac:dyDescent="0.25">
      <c r="A29" s="10">
        <v>20</v>
      </c>
      <c r="B29" s="9" t="str">
        <f>IF('LOSS LIST'!B24 = 0, "-", 'LOSS LIST'!B24)</f>
        <v>-</v>
      </c>
      <c r="C29" s="125" t="str">
        <f>IF('LOSS LIST'!J24 = 0, "-", 'LOSS LIST'!J24)</f>
        <v>-</v>
      </c>
      <c r="E29" s="32"/>
      <c r="F29" s="32"/>
      <c r="G29" s="32"/>
      <c r="H29" s="113"/>
      <c r="I29" s="151"/>
      <c r="K29" s="98"/>
      <c r="M29" s="129"/>
      <c r="O29" s="100"/>
    </row>
    <row r="30" spans="1:15" x14ac:dyDescent="0.25">
      <c r="A30" s="10">
        <v>21</v>
      </c>
      <c r="B30" s="9" t="str">
        <f>IF('LOSS LIST'!B25 = 0, "-", 'LOSS LIST'!B25)</f>
        <v>-</v>
      </c>
      <c r="C30" s="125" t="str">
        <f>IF('LOSS LIST'!J25 = 0, "-", 'LOSS LIST'!J25)</f>
        <v>-</v>
      </c>
      <c r="E30" s="32"/>
      <c r="F30" s="32"/>
      <c r="G30" s="32"/>
      <c r="H30" s="113"/>
      <c r="I30" s="151"/>
      <c r="K30" s="98"/>
      <c r="M30" s="129"/>
      <c r="O30" s="100"/>
    </row>
    <row r="31" spans="1:15" x14ac:dyDescent="0.25">
      <c r="A31" s="10">
        <v>22</v>
      </c>
      <c r="B31" s="9" t="str">
        <f>IF('LOSS LIST'!B26 = 0, "-", 'LOSS LIST'!B26)</f>
        <v>-</v>
      </c>
      <c r="C31" s="125" t="str">
        <f>IF('LOSS LIST'!J26 = 0, "-", 'LOSS LIST'!J26)</f>
        <v>-</v>
      </c>
      <c r="E31" s="32"/>
      <c r="F31" s="32"/>
      <c r="G31" s="32"/>
      <c r="H31" s="113"/>
      <c r="I31" s="151"/>
      <c r="K31" s="98"/>
      <c r="M31" s="129"/>
      <c r="O31" s="100"/>
    </row>
    <row r="32" spans="1:15" x14ac:dyDescent="0.25">
      <c r="A32" s="10">
        <v>23</v>
      </c>
      <c r="B32" s="9" t="str">
        <f>IF('LOSS LIST'!B27 = 0, "-", 'LOSS LIST'!B27)</f>
        <v>-</v>
      </c>
      <c r="C32" s="125" t="str">
        <f>IF('LOSS LIST'!J27 = 0, "-", 'LOSS LIST'!J27)</f>
        <v>-</v>
      </c>
      <c r="E32" s="32"/>
      <c r="F32" s="32"/>
      <c r="G32" s="32"/>
      <c r="H32" s="113"/>
      <c r="I32" s="151"/>
      <c r="K32" s="98"/>
      <c r="M32" s="129"/>
      <c r="O32" s="100"/>
    </row>
    <row r="33" spans="1:15" x14ac:dyDescent="0.25">
      <c r="A33" s="10">
        <v>24</v>
      </c>
      <c r="B33" s="9" t="str">
        <f>IF('LOSS LIST'!B28 = 0, "-", 'LOSS LIST'!B28)</f>
        <v>-</v>
      </c>
      <c r="C33" s="125" t="str">
        <f>IF('LOSS LIST'!J28 = 0, "-", 'LOSS LIST'!J28)</f>
        <v>-</v>
      </c>
      <c r="E33" s="32"/>
      <c r="F33" s="32"/>
      <c r="G33" s="32"/>
      <c r="H33" s="113"/>
      <c r="I33" s="151"/>
      <c r="K33" s="98"/>
      <c r="M33" s="129"/>
      <c r="O33" s="100"/>
    </row>
    <row r="34" spans="1:15" x14ac:dyDescent="0.25">
      <c r="A34" s="10">
        <v>25</v>
      </c>
      <c r="B34" s="9" t="str">
        <f>IF('LOSS LIST'!B29 = 0, "-", 'LOSS LIST'!B29)</f>
        <v>-</v>
      </c>
      <c r="C34" s="125" t="str">
        <f>IF('LOSS LIST'!J29 = 0, "-", 'LOSS LIST'!J29)</f>
        <v>-</v>
      </c>
      <c r="E34" s="32"/>
      <c r="F34" s="32"/>
      <c r="G34" s="32"/>
      <c r="H34" s="113"/>
      <c r="I34" s="151"/>
      <c r="K34" s="98"/>
      <c r="M34" s="129"/>
      <c r="O34" s="100"/>
    </row>
    <row r="35" spans="1:15" x14ac:dyDescent="0.25">
      <c r="A35" s="10">
        <v>26</v>
      </c>
      <c r="B35" s="9" t="str">
        <f>IF('LOSS LIST'!B30 = 0, "-", 'LOSS LIST'!B30)</f>
        <v>-</v>
      </c>
      <c r="C35" s="125" t="str">
        <f>IF('LOSS LIST'!J30 = 0, "-", 'LOSS LIST'!J30)</f>
        <v>-</v>
      </c>
      <c r="E35" s="32"/>
      <c r="F35" s="32"/>
      <c r="G35" s="32"/>
      <c r="H35" s="113"/>
      <c r="I35" s="151"/>
      <c r="K35" s="98"/>
      <c r="M35" s="129"/>
      <c r="O35" s="100"/>
    </row>
    <row r="36" spans="1:15" x14ac:dyDescent="0.25">
      <c r="A36" s="10">
        <v>27</v>
      </c>
      <c r="B36" s="9" t="str">
        <f>IF('LOSS LIST'!B31 = 0, "-", 'LOSS LIST'!B31)</f>
        <v>-</v>
      </c>
      <c r="C36" s="125" t="str">
        <f>IF('LOSS LIST'!J31 = 0, "-", 'LOSS LIST'!J31)</f>
        <v>-</v>
      </c>
      <c r="E36" s="32"/>
      <c r="F36" s="32"/>
      <c r="G36" s="32"/>
      <c r="H36" s="113"/>
      <c r="I36" s="151"/>
      <c r="K36" s="98"/>
      <c r="M36" s="129"/>
      <c r="O36" s="100"/>
    </row>
    <row r="37" spans="1:15" x14ac:dyDescent="0.25">
      <c r="A37" s="10">
        <v>28</v>
      </c>
      <c r="B37" s="9" t="str">
        <f>IF('LOSS LIST'!B32 = 0, "-", 'LOSS LIST'!B32)</f>
        <v>-</v>
      </c>
      <c r="C37" s="125" t="str">
        <f>IF('LOSS LIST'!J32 = 0, "-", 'LOSS LIST'!J32)</f>
        <v>-</v>
      </c>
      <c r="E37" s="32"/>
      <c r="F37" s="32"/>
      <c r="G37" s="32"/>
      <c r="H37" s="113"/>
      <c r="I37" s="151"/>
      <c r="K37" s="98"/>
      <c r="M37" s="129"/>
      <c r="O37" s="100"/>
    </row>
    <row r="38" spans="1:15" x14ac:dyDescent="0.25">
      <c r="A38" s="10">
        <v>29</v>
      </c>
      <c r="B38" s="9" t="str">
        <f>IF('LOSS LIST'!B33 = 0, "-", 'LOSS LIST'!B33)</f>
        <v>-</v>
      </c>
      <c r="C38" s="125" t="str">
        <f>IF('LOSS LIST'!J33 = 0, "-", 'LOSS LIST'!J33)</f>
        <v>-</v>
      </c>
      <c r="E38" s="32"/>
      <c r="F38" s="32"/>
      <c r="G38" s="32"/>
      <c r="H38" s="113"/>
      <c r="I38" s="151"/>
      <c r="K38" s="98"/>
      <c r="M38" s="129"/>
      <c r="O38" s="100"/>
    </row>
    <row r="39" spans="1:15" x14ac:dyDescent="0.25">
      <c r="A39" s="10">
        <v>30</v>
      </c>
      <c r="B39" s="9" t="str">
        <f>IF('LOSS LIST'!B34 = 0, "-", 'LOSS LIST'!B34)</f>
        <v>-</v>
      </c>
      <c r="C39" s="125" t="str">
        <f>IF('LOSS LIST'!J34 = 0, "-", 'LOSS LIST'!J34)</f>
        <v>-</v>
      </c>
      <c r="E39" s="32"/>
      <c r="F39" s="32"/>
      <c r="G39" s="32"/>
      <c r="H39" s="113"/>
      <c r="I39" s="151"/>
      <c r="K39" s="98"/>
      <c r="M39" s="129"/>
      <c r="O39" s="100"/>
    </row>
    <row r="40" spans="1:15" x14ac:dyDescent="0.25">
      <c r="A40" s="10">
        <v>31</v>
      </c>
      <c r="B40" s="9" t="str">
        <f>IF('LOSS LIST'!B35 = 0, "-", 'LOSS LIST'!B35)</f>
        <v>-</v>
      </c>
      <c r="C40" s="125" t="str">
        <f>IF('LOSS LIST'!J35 = 0, "-", 'LOSS LIST'!J35)</f>
        <v>-</v>
      </c>
      <c r="E40" s="32"/>
      <c r="F40" s="32"/>
      <c r="G40" s="32"/>
      <c r="H40" s="113"/>
      <c r="I40" s="151"/>
      <c r="K40" s="98"/>
      <c r="M40" s="129"/>
      <c r="O40" s="100"/>
    </row>
    <row r="41" spans="1:15" x14ac:dyDescent="0.25">
      <c r="A41" s="10">
        <v>32</v>
      </c>
      <c r="B41" s="9" t="str">
        <f>IF('LOSS LIST'!B36 = 0, "-", 'LOSS LIST'!B36)</f>
        <v>-</v>
      </c>
      <c r="C41" s="125" t="str">
        <f>IF('LOSS LIST'!J36 = 0, "-", 'LOSS LIST'!J36)</f>
        <v>-</v>
      </c>
      <c r="E41" s="32"/>
      <c r="F41" s="32"/>
      <c r="G41" s="32"/>
      <c r="H41" s="113"/>
      <c r="I41" s="151"/>
      <c r="K41" s="98"/>
      <c r="M41" s="129"/>
      <c r="O41" s="100"/>
    </row>
    <row r="42" spans="1:15" x14ac:dyDescent="0.25">
      <c r="A42" s="10">
        <v>33</v>
      </c>
      <c r="B42" s="9" t="str">
        <f>IF('LOSS LIST'!B37 = 0, "-", 'LOSS LIST'!B37)</f>
        <v>-</v>
      </c>
      <c r="C42" s="125" t="str">
        <f>IF('LOSS LIST'!J37 = 0, "-", 'LOSS LIST'!J37)</f>
        <v>-</v>
      </c>
      <c r="E42" s="32"/>
      <c r="F42" s="32"/>
      <c r="G42" s="32"/>
      <c r="H42" s="113"/>
      <c r="I42" s="151"/>
      <c r="K42" s="98"/>
      <c r="M42" s="129"/>
      <c r="O42" s="100"/>
    </row>
    <row r="43" spans="1:15" x14ac:dyDescent="0.25">
      <c r="A43" s="10">
        <v>34</v>
      </c>
      <c r="B43" s="9" t="str">
        <f>IF('LOSS LIST'!B38 = 0, "-", 'LOSS LIST'!B38)</f>
        <v>-</v>
      </c>
      <c r="C43" s="125" t="str">
        <f>IF('LOSS LIST'!J38 = 0, "-", 'LOSS LIST'!J38)</f>
        <v>-</v>
      </c>
      <c r="E43" s="32"/>
      <c r="F43" s="32"/>
      <c r="G43" s="32"/>
      <c r="H43" s="113"/>
      <c r="I43" s="151"/>
      <c r="K43" s="98"/>
      <c r="M43" s="129"/>
      <c r="O43" s="100"/>
    </row>
    <row r="44" spans="1:15" x14ac:dyDescent="0.25">
      <c r="A44" s="10">
        <v>35</v>
      </c>
      <c r="B44" s="9" t="str">
        <f>IF('LOSS LIST'!B39 = 0, "-", 'LOSS LIST'!B39)</f>
        <v>-</v>
      </c>
      <c r="C44" s="125" t="str">
        <f>IF('LOSS LIST'!J39 = 0, "-", 'LOSS LIST'!J39)</f>
        <v>-</v>
      </c>
      <c r="E44" s="32"/>
      <c r="F44" s="32"/>
      <c r="G44" s="32"/>
      <c r="H44" s="113"/>
      <c r="I44" s="151"/>
      <c r="K44" s="98"/>
      <c r="M44" s="129"/>
      <c r="O44" s="100"/>
    </row>
    <row r="45" spans="1:15" x14ac:dyDescent="0.25">
      <c r="A45" s="10">
        <v>36</v>
      </c>
      <c r="B45" s="9" t="str">
        <f>IF('LOSS LIST'!B40 = 0, "-", 'LOSS LIST'!B40)</f>
        <v>-</v>
      </c>
      <c r="C45" s="125" t="str">
        <f>IF('LOSS LIST'!J40 = 0, "-", 'LOSS LIST'!J40)</f>
        <v>-</v>
      </c>
      <c r="E45" s="32"/>
      <c r="F45" s="32"/>
      <c r="G45" s="32"/>
      <c r="H45" s="113"/>
      <c r="I45" s="151"/>
      <c r="K45" s="98"/>
      <c r="M45" s="129"/>
      <c r="O45" s="100"/>
    </row>
    <row r="46" spans="1:15" x14ac:dyDescent="0.25">
      <c r="A46" s="10">
        <v>37</v>
      </c>
      <c r="B46" s="9" t="str">
        <f>IF('LOSS LIST'!B41 = 0, "-", 'LOSS LIST'!B41)</f>
        <v>-</v>
      </c>
      <c r="C46" s="125" t="str">
        <f>IF('LOSS LIST'!J41 = 0, "-", 'LOSS LIST'!J41)</f>
        <v>-</v>
      </c>
      <c r="E46" s="32"/>
      <c r="F46" s="32"/>
      <c r="G46" s="32"/>
      <c r="H46" s="113"/>
      <c r="I46" s="151"/>
      <c r="K46" s="98"/>
      <c r="M46" s="129"/>
      <c r="O46" s="100"/>
    </row>
    <row r="47" spans="1:15" x14ac:dyDescent="0.25">
      <c r="A47" s="10">
        <v>38</v>
      </c>
      <c r="B47" s="9" t="str">
        <f>IF('LOSS LIST'!B42 = 0, "-", 'LOSS LIST'!B42)</f>
        <v>-</v>
      </c>
      <c r="C47" s="125" t="str">
        <f>IF('LOSS LIST'!J42 = 0, "-", 'LOSS LIST'!J42)</f>
        <v>-</v>
      </c>
      <c r="E47" s="32"/>
      <c r="F47" s="32"/>
      <c r="G47" s="32"/>
      <c r="H47" s="113"/>
      <c r="I47" s="151"/>
      <c r="K47" s="98"/>
      <c r="M47" s="129"/>
      <c r="O47" s="100"/>
    </row>
    <row r="48" spans="1:15" x14ac:dyDescent="0.25">
      <c r="A48" s="10">
        <v>39</v>
      </c>
      <c r="B48" s="9" t="str">
        <f>IF('LOSS LIST'!B43 = 0, "-", 'LOSS LIST'!B43)</f>
        <v>-</v>
      </c>
      <c r="C48" s="125" t="str">
        <f>IF('LOSS LIST'!J43 = 0, "-", 'LOSS LIST'!J43)</f>
        <v>-</v>
      </c>
      <c r="E48" s="32"/>
      <c r="F48" s="32"/>
      <c r="G48" s="32"/>
      <c r="H48" s="113"/>
      <c r="I48" s="151"/>
      <c r="K48" s="98"/>
      <c r="M48" s="129"/>
      <c r="O48" s="100"/>
    </row>
    <row r="49" spans="1:15" x14ac:dyDescent="0.25">
      <c r="A49" s="10">
        <v>40</v>
      </c>
      <c r="B49" s="9" t="str">
        <f>IF('LOSS LIST'!B44 = 0, "-", 'LOSS LIST'!B44)</f>
        <v>-</v>
      </c>
      <c r="C49" s="125" t="str">
        <f>IF('LOSS LIST'!J44 = 0, "-", 'LOSS LIST'!J44)</f>
        <v>-</v>
      </c>
      <c r="E49" s="32"/>
      <c r="F49" s="32"/>
      <c r="G49" s="32"/>
      <c r="H49" s="113"/>
      <c r="I49" s="151"/>
      <c r="K49" s="98"/>
      <c r="M49" s="129"/>
      <c r="O49" s="100"/>
    </row>
    <row r="50" spans="1:15" x14ac:dyDescent="0.25">
      <c r="A50" s="10">
        <v>41</v>
      </c>
      <c r="B50" s="9" t="str">
        <f>IF('LOSS LIST'!B45 = 0, "-", 'LOSS LIST'!B45)</f>
        <v>-</v>
      </c>
      <c r="C50" s="125" t="str">
        <f>IF('LOSS LIST'!J45 = 0, "-", 'LOSS LIST'!J45)</f>
        <v>-</v>
      </c>
      <c r="E50" s="32"/>
      <c r="F50" s="32"/>
      <c r="G50" s="32"/>
      <c r="H50" s="113"/>
      <c r="I50" s="151"/>
      <c r="K50" s="98"/>
      <c r="M50" s="129"/>
      <c r="O50" s="100"/>
    </row>
    <row r="51" spans="1:15" x14ac:dyDescent="0.25">
      <c r="A51" s="10">
        <v>42</v>
      </c>
      <c r="B51" s="9" t="str">
        <f>IF('LOSS LIST'!B46 = 0, "-", 'LOSS LIST'!B46)</f>
        <v>-</v>
      </c>
      <c r="C51" s="125" t="str">
        <f>IF('LOSS LIST'!J46 = 0, "-", 'LOSS LIST'!J46)</f>
        <v>-</v>
      </c>
      <c r="E51" s="32"/>
      <c r="F51" s="32"/>
      <c r="G51" s="32"/>
      <c r="H51" s="113"/>
      <c r="I51" s="151"/>
      <c r="K51" s="98"/>
      <c r="M51" s="129"/>
      <c r="O51" s="100"/>
    </row>
    <row r="52" spans="1:15" x14ac:dyDescent="0.25">
      <c r="A52" s="10">
        <v>43</v>
      </c>
      <c r="B52" s="9" t="str">
        <f>IF('LOSS LIST'!B47 = 0, "-", 'LOSS LIST'!B47)</f>
        <v>-</v>
      </c>
      <c r="C52" s="125" t="str">
        <f>IF('LOSS LIST'!J47 = 0, "-", 'LOSS LIST'!J47)</f>
        <v>-</v>
      </c>
      <c r="E52" s="32"/>
      <c r="F52" s="32"/>
      <c r="G52" s="32"/>
      <c r="H52" s="113"/>
      <c r="I52" s="151"/>
      <c r="K52" s="98"/>
      <c r="M52" s="129"/>
      <c r="O52" s="100"/>
    </row>
    <row r="53" spans="1:15" x14ac:dyDescent="0.25">
      <c r="A53" s="10">
        <v>44</v>
      </c>
      <c r="B53" s="9" t="str">
        <f>IF('LOSS LIST'!B48 = 0, "-", 'LOSS LIST'!B48)</f>
        <v>-</v>
      </c>
      <c r="C53" s="125" t="str">
        <f>IF('LOSS LIST'!J48 = 0, "-", 'LOSS LIST'!J48)</f>
        <v>-</v>
      </c>
      <c r="E53" s="32"/>
      <c r="F53" s="32"/>
      <c r="G53" s="32"/>
      <c r="H53" s="113"/>
      <c r="I53" s="151"/>
      <c r="K53" s="98"/>
      <c r="M53" s="129"/>
      <c r="O53" s="100"/>
    </row>
    <row r="54" spans="1:15" x14ac:dyDescent="0.25">
      <c r="A54" s="10">
        <v>45</v>
      </c>
      <c r="B54" s="9" t="str">
        <f>IF('LOSS LIST'!B49 = 0, "-", 'LOSS LIST'!B49)</f>
        <v>-</v>
      </c>
      <c r="C54" s="125" t="str">
        <f>IF('LOSS LIST'!J49 = 0, "-", 'LOSS LIST'!J49)</f>
        <v>-</v>
      </c>
      <c r="E54" s="32"/>
      <c r="F54" s="32"/>
      <c r="G54" s="32"/>
      <c r="H54" s="113"/>
      <c r="I54" s="151"/>
      <c r="K54" s="98"/>
      <c r="M54" s="129"/>
      <c r="O54" s="100"/>
    </row>
    <row r="55" spans="1:15" x14ac:dyDescent="0.25">
      <c r="A55" s="10">
        <v>46</v>
      </c>
      <c r="B55" s="9" t="str">
        <f>IF('LOSS LIST'!B50 = 0, "-", 'LOSS LIST'!B50)</f>
        <v>-</v>
      </c>
      <c r="C55" s="125" t="str">
        <f>IF('LOSS LIST'!J50 = 0, "-", 'LOSS LIST'!J50)</f>
        <v>-</v>
      </c>
      <c r="E55" s="32"/>
      <c r="F55" s="32"/>
      <c r="G55" s="32"/>
      <c r="H55" s="113"/>
      <c r="I55" s="151"/>
      <c r="K55" s="98"/>
      <c r="M55" s="129"/>
      <c r="O55" s="100"/>
    </row>
    <row r="56" spans="1:15" x14ac:dyDescent="0.25">
      <c r="A56" s="10">
        <v>47</v>
      </c>
      <c r="B56" s="9" t="str">
        <f>IF('LOSS LIST'!B51 = 0, "-", 'LOSS LIST'!B51)</f>
        <v>-</v>
      </c>
      <c r="C56" s="125" t="str">
        <f>IF('LOSS LIST'!J51 = 0, "-", 'LOSS LIST'!J51)</f>
        <v>-</v>
      </c>
      <c r="E56" s="32"/>
      <c r="F56" s="32"/>
      <c r="G56" s="32"/>
      <c r="H56" s="113"/>
      <c r="I56" s="151"/>
      <c r="K56" s="98"/>
      <c r="M56" s="129"/>
      <c r="O56" s="100"/>
    </row>
    <row r="57" spans="1:15" x14ac:dyDescent="0.25">
      <c r="A57" s="10">
        <v>48</v>
      </c>
      <c r="B57" s="9" t="str">
        <f>IF('LOSS LIST'!B52 = 0, "-", 'LOSS LIST'!B52)</f>
        <v>-</v>
      </c>
      <c r="C57" s="125" t="str">
        <f>IF('LOSS LIST'!J52 = 0, "-", 'LOSS LIST'!J52)</f>
        <v>-</v>
      </c>
      <c r="E57" s="32"/>
      <c r="F57" s="32"/>
      <c r="G57" s="32"/>
      <c r="H57" s="113"/>
      <c r="I57" s="151"/>
      <c r="K57" s="98"/>
      <c r="M57" s="129"/>
      <c r="O57" s="100"/>
    </row>
    <row r="58" spans="1:15" x14ac:dyDescent="0.25">
      <c r="A58" s="10">
        <v>49</v>
      </c>
      <c r="B58" s="9" t="str">
        <f>IF('LOSS LIST'!B53 = 0, "-", 'LOSS LIST'!B53)</f>
        <v>-</v>
      </c>
      <c r="C58" s="125" t="str">
        <f>IF('LOSS LIST'!J53 = 0, "-", 'LOSS LIST'!J53)</f>
        <v>-</v>
      </c>
      <c r="E58" s="32"/>
      <c r="F58" s="32"/>
      <c r="G58" s="32"/>
      <c r="H58" s="113"/>
      <c r="I58" s="151"/>
      <c r="K58" s="98"/>
      <c r="M58" s="129"/>
      <c r="O58" s="100"/>
    </row>
    <row r="59" spans="1:15" x14ac:dyDescent="0.25">
      <c r="A59" s="10">
        <v>50</v>
      </c>
      <c r="B59" s="9" t="str">
        <f>IF('LOSS LIST'!B54 = 0, "-", 'LOSS LIST'!B54)</f>
        <v>-</v>
      </c>
      <c r="C59" s="125" t="str">
        <f>IF('LOSS LIST'!J54 = 0, "-", 'LOSS LIST'!J54)</f>
        <v>-</v>
      </c>
      <c r="E59" s="32"/>
      <c r="F59" s="32"/>
      <c r="G59" s="32"/>
      <c r="H59" s="113"/>
      <c r="I59" s="151"/>
      <c r="K59" s="98"/>
      <c r="M59" s="129"/>
      <c r="O59" s="100"/>
    </row>
    <row r="60" spans="1:15" x14ac:dyDescent="0.25">
      <c r="A60" s="10">
        <v>51</v>
      </c>
      <c r="B60" s="9" t="str">
        <f>IF('LOSS LIST'!B55 = 0, "-", 'LOSS LIST'!B55)</f>
        <v>-</v>
      </c>
      <c r="C60" s="125" t="str">
        <f>IF('LOSS LIST'!J55 = 0, "-", 'LOSS LIST'!J55)</f>
        <v>-</v>
      </c>
      <c r="E60" s="32"/>
      <c r="F60" s="32"/>
      <c r="G60" s="32"/>
      <c r="H60" s="113"/>
      <c r="I60" s="151"/>
      <c r="K60" s="98"/>
      <c r="M60" s="129"/>
      <c r="O60" s="100"/>
    </row>
    <row r="61" spans="1:15" x14ac:dyDescent="0.25">
      <c r="A61" s="10">
        <v>52</v>
      </c>
      <c r="B61" s="9" t="str">
        <f>IF('LOSS LIST'!B56 = 0, "-", 'LOSS LIST'!B56)</f>
        <v>-</v>
      </c>
      <c r="C61" s="125" t="str">
        <f>IF('LOSS LIST'!J56 = 0, "-", 'LOSS LIST'!J56)</f>
        <v>-</v>
      </c>
      <c r="E61" s="32"/>
      <c r="F61" s="32"/>
      <c r="G61" s="32"/>
      <c r="H61" s="113"/>
      <c r="I61" s="151"/>
      <c r="K61" s="98"/>
      <c r="M61" s="129"/>
      <c r="O61" s="100"/>
    </row>
    <row r="62" spans="1:15" x14ac:dyDescent="0.25">
      <c r="A62" s="10">
        <v>53</v>
      </c>
      <c r="B62" s="9" t="str">
        <f>IF('LOSS LIST'!B57 = 0, "-", 'LOSS LIST'!B57)</f>
        <v>-</v>
      </c>
      <c r="C62" s="125" t="str">
        <f>IF('LOSS LIST'!J57 = 0, "-", 'LOSS LIST'!J57)</f>
        <v>-</v>
      </c>
      <c r="E62" s="32"/>
      <c r="F62" s="32"/>
      <c r="G62" s="32"/>
      <c r="H62" s="113"/>
      <c r="I62" s="151"/>
      <c r="K62" s="98"/>
      <c r="M62" s="129"/>
      <c r="O62" s="100"/>
    </row>
    <row r="63" spans="1:15" x14ac:dyDescent="0.25">
      <c r="A63" s="10">
        <v>54</v>
      </c>
      <c r="B63" s="9" t="str">
        <f>IF('LOSS LIST'!B58 = 0, "-", 'LOSS LIST'!B58)</f>
        <v>-</v>
      </c>
      <c r="C63" s="125" t="str">
        <f>IF('LOSS LIST'!J58 = 0, "-", 'LOSS LIST'!J58)</f>
        <v>-</v>
      </c>
      <c r="E63" s="32"/>
      <c r="F63" s="32"/>
      <c r="G63" s="32"/>
      <c r="H63" s="113"/>
      <c r="I63" s="151"/>
      <c r="K63" s="98"/>
      <c r="M63" s="129"/>
      <c r="O63" s="100"/>
    </row>
    <row r="64" spans="1:15" x14ac:dyDescent="0.25">
      <c r="A64" s="10">
        <v>55</v>
      </c>
      <c r="B64" s="9" t="str">
        <f>IF('LOSS LIST'!B59 = 0, "-", 'LOSS LIST'!B59)</f>
        <v>-</v>
      </c>
      <c r="C64" s="125" t="str">
        <f>IF('LOSS LIST'!J59 = 0, "-", 'LOSS LIST'!J59)</f>
        <v>-</v>
      </c>
      <c r="E64" s="32"/>
      <c r="F64" s="32"/>
      <c r="G64" s="32"/>
      <c r="H64" s="113"/>
      <c r="I64" s="151"/>
      <c r="K64" s="98"/>
      <c r="M64" s="129"/>
      <c r="O64" s="100"/>
    </row>
    <row r="65" spans="1:15" x14ac:dyDescent="0.25">
      <c r="A65" s="10">
        <v>56</v>
      </c>
      <c r="B65" s="9" t="str">
        <f>IF('LOSS LIST'!B60 = 0, "-", 'LOSS LIST'!B60)</f>
        <v>-</v>
      </c>
      <c r="C65" s="125" t="str">
        <f>IF('LOSS LIST'!J60 = 0, "-", 'LOSS LIST'!J60)</f>
        <v>-</v>
      </c>
      <c r="E65" s="32"/>
      <c r="F65" s="32"/>
      <c r="G65" s="32"/>
      <c r="H65" s="113"/>
      <c r="I65" s="151"/>
      <c r="K65" s="98"/>
      <c r="M65" s="129"/>
      <c r="O65" s="100"/>
    </row>
    <row r="66" spans="1:15" x14ac:dyDescent="0.25">
      <c r="A66" s="10">
        <v>57</v>
      </c>
      <c r="B66" s="9" t="str">
        <f>IF('LOSS LIST'!B61 = 0, "-", 'LOSS LIST'!B61)</f>
        <v>-</v>
      </c>
      <c r="C66" s="125" t="str">
        <f>IF('LOSS LIST'!J61 = 0, "-", 'LOSS LIST'!J61)</f>
        <v>-</v>
      </c>
      <c r="E66" s="32"/>
      <c r="F66" s="32"/>
      <c r="G66" s="32"/>
      <c r="H66" s="113"/>
      <c r="I66" s="151"/>
      <c r="K66" s="98"/>
      <c r="M66" s="129"/>
      <c r="O66" s="100"/>
    </row>
    <row r="67" spans="1:15" x14ac:dyDescent="0.25">
      <c r="A67" s="10">
        <v>58</v>
      </c>
      <c r="B67" s="9" t="str">
        <f>IF('LOSS LIST'!B62 = 0, "-", 'LOSS LIST'!B62)</f>
        <v>-</v>
      </c>
      <c r="C67" s="125" t="str">
        <f>IF('LOSS LIST'!J62 = 0, "-", 'LOSS LIST'!J62)</f>
        <v>-</v>
      </c>
      <c r="E67" s="32"/>
      <c r="F67" s="32"/>
      <c r="G67" s="32"/>
      <c r="H67" s="113"/>
      <c r="I67" s="151"/>
      <c r="K67" s="98"/>
      <c r="M67" s="129"/>
      <c r="O67" s="100"/>
    </row>
    <row r="68" spans="1:15" x14ac:dyDescent="0.25">
      <c r="A68" s="10">
        <v>59</v>
      </c>
      <c r="B68" s="9" t="str">
        <f>IF('LOSS LIST'!B63 = 0, "-", 'LOSS LIST'!B63)</f>
        <v>-</v>
      </c>
      <c r="C68" s="125" t="str">
        <f>IF('LOSS LIST'!J63 = 0, "-", 'LOSS LIST'!J63)</f>
        <v>-</v>
      </c>
      <c r="E68" s="32"/>
      <c r="F68" s="32"/>
      <c r="G68" s="32"/>
      <c r="H68" s="113"/>
      <c r="I68" s="151"/>
      <c r="K68" s="98"/>
      <c r="M68" s="129"/>
      <c r="O68" s="100"/>
    </row>
    <row r="69" spans="1:15" x14ac:dyDescent="0.25">
      <c r="A69" s="10">
        <v>60</v>
      </c>
      <c r="B69" s="9" t="str">
        <f>IF('LOSS LIST'!B64 = 0, "-", 'LOSS LIST'!B64)</f>
        <v>-</v>
      </c>
      <c r="C69" s="125" t="str">
        <f>IF('LOSS LIST'!J64 = 0, "-", 'LOSS LIST'!J64)</f>
        <v>-</v>
      </c>
      <c r="E69" s="32"/>
      <c r="F69" s="32"/>
      <c r="G69" s="32"/>
      <c r="H69" s="113"/>
      <c r="I69" s="151"/>
      <c r="K69" s="98"/>
      <c r="M69" s="129"/>
      <c r="O69" s="100"/>
    </row>
    <row r="70" spans="1:15" x14ac:dyDescent="0.25">
      <c r="A70" s="10">
        <v>61</v>
      </c>
      <c r="B70" s="9" t="str">
        <f>IF('LOSS LIST'!B65 = 0, "-", 'LOSS LIST'!B65)</f>
        <v>-</v>
      </c>
      <c r="C70" s="125" t="str">
        <f>IF('LOSS LIST'!J65 = 0, "-", 'LOSS LIST'!J65)</f>
        <v>-</v>
      </c>
      <c r="E70" s="32"/>
      <c r="F70" s="32"/>
      <c r="G70" s="32"/>
      <c r="H70" s="113"/>
      <c r="I70" s="151"/>
      <c r="K70" s="98"/>
      <c r="M70" s="129"/>
      <c r="O70" s="100"/>
    </row>
    <row r="71" spans="1:15" x14ac:dyDescent="0.25">
      <c r="A71" s="10">
        <v>62</v>
      </c>
      <c r="B71" s="9" t="str">
        <f>IF('LOSS LIST'!B66 = 0, "-", 'LOSS LIST'!B66)</f>
        <v>-</v>
      </c>
      <c r="C71" s="125" t="str">
        <f>IF('LOSS LIST'!J66 = 0, "-", 'LOSS LIST'!J66)</f>
        <v>-</v>
      </c>
      <c r="E71" s="32"/>
      <c r="F71" s="32"/>
      <c r="G71" s="32"/>
      <c r="H71" s="113"/>
      <c r="I71" s="151"/>
      <c r="K71" s="98"/>
      <c r="M71" s="129"/>
      <c r="O71" s="100"/>
    </row>
    <row r="72" spans="1:15" x14ac:dyDescent="0.25">
      <c r="A72" s="10">
        <v>63</v>
      </c>
      <c r="B72" s="9" t="str">
        <f>IF('LOSS LIST'!B67 = 0, "-", 'LOSS LIST'!B67)</f>
        <v>-</v>
      </c>
      <c r="C72" s="125" t="str">
        <f>IF('LOSS LIST'!J67 = 0, "-", 'LOSS LIST'!J67)</f>
        <v>-</v>
      </c>
      <c r="E72" s="32"/>
      <c r="F72" s="32"/>
      <c r="G72" s="32"/>
      <c r="H72" s="113"/>
      <c r="I72" s="151"/>
      <c r="K72" s="98"/>
      <c r="M72" s="129"/>
      <c r="O72" s="100"/>
    </row>
    <row r="73" spans="1:15" x14ac:dyDescent="0.25">
      <c r="A73" s="10">
        <v>64</v>
      </c>
      <c r="B73" s="9" t="str">
        <f>IF('LOSS LIST'!B68 = 0, "-", 'LOSS LIST'!B68)</f>
        <v>-</v>
      </c>
      <c r="C73" s="125" t="str">
        <f>IF('LOSS LIST'!J68 = 0, "-", 'LOSS LIST'!J68)</f>
        <v>-</v>
      </c>
      <c r="E73" s="32"/>
      <c r="F73" s="32"/>
      <c r="G73" s="32"/>
      <c r="H73" s="113"/>
      <c r="I73" s="151"/>
      <c r="K73" s="98"/>
      <c r="M73" s="129"/>
      <c r="O73" s="100"/>
    </row>
    <row r="74" spans="1:15" x14ac:dyDescent="0.25">
      <c r="A74" s="10">
        <v>65</v>
      </c>
      <c r="B74" s="9" t="str">
        <f>IF('LOSS LIST'!B69 = 0, "-", 'LOSS LIST'!B69)</f>
        <v>-</v>
      </c>
      <c r="C74" s="125" t="str">
        <f>IF('LOSS LIST'!J69 = 0, "-", 'LOSS LIST'!J69)</f>
        <v>-</v>
      </c>
      <c r="E74" s="32"/>
      <c r="F74" s="32"/>
      <c r="G74" s="32"/>
      <c r="H74" s="113"/>
      <c r="I74" s="151"/>
      <c r="K74" s="98"/>
      <c r="M74" s="129"/>
      <c r="O74" s="100"/>
    </row>
    <row r="75" spans="1:15" x14ac:dyDescent="0.25">
      <c r="A75" s="10">
        <v>66</v>
      </c>
      <c r="B75" s="9" t="str">
        <f>IF('LOSS LIST'!B70 = 0, "-", 'LOSS LIST'!B70)</f>
        <v>-</v>
      </c>
      <c r="C75" s="125" t="str">
        <f>IF('LOSS LIST'!J70 = 0, "-", 'LOSS LIST'!J70)</f>
        <v>-</v>
      </c>
      <c r="E75" s="32"/>
      <c r="F75" s="32"/>
      <c r="G75" s="32"/>
      <c r="H75" s="113"/>
      <c r="I75" s="151"/>
      <c r="K75" s="98"/>
      <c r="M75" s="129"/>
      <c r="O75" s="100"/>
    </row>
    <row r="76" spans="1:15" x14ac:dyDescent="0.25">
      <c r="A76" s="10">
        <v>67</v>
      </c>
      <c r="B76" s="9" t="str">
        <f>IF('LOSS LIST'!B71 = 0, "-", 'LOSS LIST'!B71)</f>
        <v>-</v>
      </c>
      <c r="C76" s="125" t="str">
        <f>IF('LOSS LIST'!J71 = 0, "-", 'LOSS LIST'!J71)</f>
        <v>-</v>
      </c>
      <c r="E76" s="32"/>
      <c r="F76" s="32"/>
      <c r="G76" s="32"/>
      <c r="H76" s="113"/>
      <c r="I76" s="151"/>
      <c r="K76" s="98"/>
      <c r="M76" s="129"/>
      <c r="O76" s="100"/>
    </row>
    <row r="77" spans="1:15" x14ac:dyDescent="0.25">
      <c r="A77" s="10">
        <v>68</v>
      </c>
      <c r="B77" s="9" t="str">
        <f>IF('LOSS LIST'!B72 = 0, "-", 'LOSS LIST'!B72)</f>
        <v>-</v>
      </c>
      <c r="C77" s="125" t="str">
        <f>IF('LOSS LIST'!J72 = 0, "-", 'LOSS LIST'!J72)</f>
        <v>-</v>
      </c>
      <c r="E77" s="32"/>
      <c r="F77" s="32"/>
      <c r="G77" s="32"/>
      <c r="H77" s="113"/>
      <c r="I77" s="151"/>
      <c r="K77" s="98"/>
      <c r="M77" s="129"/>
      <c r="O77" s="100"/>
    </row>
    <row r="78" spans="1:15" x14ac:dyDescent="0.25">
      <c r="A78" s="10">
        <v>69</v>
      </c>
      <c r="B78" s="9" t="str">
        <f>IF('LOSS LIST'!B73 = 0, "-", 'LOSS LIST'!B73)</f>
        <v>-</v>
      </c>
      <c r="C78" s="125" t="str">
        <f>IF('LOSS LIST'!J73 = 0, "-", 'LOSS LIST'!J73)</f>
        <v>-</v>
      </c>
      <c r="E78" s="32"/>
      <c r="F78" s="32"/>
      <c r="G78" s="32"/>
      <c r="H78" s="113"/>
      <c r="I78" s="151"/>
      <c r="K78" s="98"/>
      <c r="M78" s="129"/>
      <c r="O78" s="100"/>
    </row>
    <row r="79" spans="1:15" x14ac:dyDescent="0.25">
      <c r="A79" s="10">
        <v>70</v>
      </c>
      <c r="B79" s="9" t="str">
        <f>IF('LOSS LIST'!B74 = 0, "-", 'LOSS LIST'!B74)</f>
        <v>-</v>
      </c>
      <c r="C79" s="125" t="str">
        <f>IF('LOSS LIST'!J74 = 0, "-", 'LOSS LIST'!J74)</f>
        <v>-</v>
      </c>
      <c r="E79" s="32"/>
      <c r="F79" s="32"/>
      <c r="G79" s="32"/>
      <c r="H79" s="113"/>
      <c r="I79" s="151"/>
      <c r="K79" s="98"/>
      <c r="M79" s="129"/>
      <c r="O79" s="100"/>
    </row>
    <row r="80" spans="1:15" x14ac:dyDescent="0.25">
      <c r="A80" s="10">
        <v>71</v>
      </c>
      <c r="B80" s="9" t="str">
        <f>IF('LOSS LIST'!B75 = 0, "-", 'LOSS LIST'!B75)</f>
        <v>-</v>
      </c>
      <c r="C80" s="125" t="str">
        <f>IF('LOSS LIST'!J75 = 0, "-", 'LOSS LIST'!J75)</f>
        <v>-</v>
      </c>
      <c r="E80" s="32"/>
      <c r="F80" s="32"/>
      <c r="G80" s="32"/>
      <c r="H80" s="113"/>
      <c r="I80" s="151"/>
      <c r="K80" s="98"/>
      <c r="M80" s="129"/>
      <c r="O80" s="100"/>
    </row>
    <row r="81" spans="1:15" x14ac:dyDescent="0.25">
      <c r="A81" s="10">
        <v>72</v>
      </c>
      <c r="B81" s="9" t="str">
        <f>IF('LOSS LIST'!B76 = 0, "-", 'LOSS LIST'!B76)</f>
        <v>-</v>
      </c>
      <c r="C81" s="125" t="str">
        <f>IF('LOSS LIST'!J76 = 0, "-", 'LOSS LIST'!J76)</f>
        <v>-</v>
      </c>
      <c r="E81" s="32"/>
      <c r="F81" s="32"/>
      <c r="G81" s="32"/>
      <c r="H81" s="113"/>
      <c r="I81" s="151"/>
      <c r="K81" s="98"/>
      <c r="M81" s="129"/>
      <c r="O81" s="100"/>
    </row>
    <row r="82" spans="1:15" x14ac:dyDescent="0.25">
      <c r="A82" s="10">
        <v>73</v>
      </c>
      <c r="B82" s="9" t="str">
        <f>IF('LOSS LIST'!B77 = 0, "-", 'LOSS LIST'!B77)</f>
        <v>-</v>
      </c>
      <c r="C82" s="125" t="str">
        <f>IF('LOSS LIST'!J77 = 0, "-", 'LOSS LIST'!J77)</f>
        <v>-</v>
      </c>
      <c r="E82" s="32"/>
      <c r="F82" s="32"/>
      <c r="G82" s="32"/>
      <c r="H82" s="113"/>
      <c r="I82" s="151"/>
      <c r="K82" s="98"/>
      <c r="M82" s="129"/>
      <c r="O82" s="100"/>
    </row>
    <row r="83" spans="1:15" x14ac:dyDescent="0.25">
      <c r="A83" s="10">
        <v>74</v>
      </c>
      <c r="B83" s="9" t="str">
        <f>IF('LOSS LIST'!B78 = 0, "-", 'LOSS LIST'!B78)</f>
        <v>-</v>
      </c>
      <c r="C83" s="125" t="str">
        <f>IF('LOSS LIST'!J78 = 0, "-", 'LOSS LIST'!J78)</f>
        <v>-</v>
      </c>
      <c r="E83" s="32"/>
      <c r="F83" s="32"/>
      <c r="G83" s="32"/>
      <c r="H83" s="113"/>
      <c r="I83" s="151"/>
      <c r="K83" s="98"/>
      <c r="M83" s="129"/>
      <c r="O83" s="100"/>
    </row>
    <row r="84" spans="1:15" x14ac:dyDescent="0.25">
      <c r="A84" s="10">
        <v>75</v>
      </c>
      <c r="B84" s="9" t="str">
        <f>IF('LOSS LIST'!B79 = 0, "-", 'LOSS LIST'!B79)</f>
        <v>-</v>
      </c>
      <c r="C84" s="125" t="str">
        <f>IF('LOSS LIST'!J79 = 0, "-", 'LOSS LIST'!J79)</f>
        <v>-</v>
      </c>
      <c r="E84" s="32"/>
      <c r="F84" s="32"/>
      <c r="G84" s="32"/>
      <c r="H84" s="113"/>
      <c r="I84" s="151"/>
      <c r="K84" s="98"/>
      <c r="M84" s="129"/>
      <c r="O84" s="100"/>
    </row>
    <row r="85" spans="1:15" x14ac:dyDescent="0.25">
      <c r="A85" s="10">
        <v>76</v>
      </c>
      <c r="B85" s="9" t="str">
        <f>IF('LOSS LIST'!B80 = 0, "-", 'LOSS LIST'!B80)</f>
        <v>-</v>
      </c>
      <c r="C85" s="125" t="str">
        <f>IF('LOSS LIST'!J80 = 0, "-", 'LOSS LIST'!J80)</f>
        <v>-</v>
      </c>
      <c r="E85" s="32"/>
      <c r="F85" s="32"/>
      <c r="G85" s="32"/>
      <c r="H85" s="113"/>
      <c r="I85" s="151"/>
      <c r="K85" s="98"/>
      <c r="M85" s="129"/>
      <c r="O85" s="100"/>
    </row>
    <row r="86" spans="1:15" x14ac:dyDescent="0.25">
      <c r="A86" s="10">
        <v>77</v>
      </c>
      <c r="B86" s="9" t="str">
        <f>IF('LOSS LIST'!B81 = 0, "-", 'LOSS LIST'!B81)</f>
        <v>-</v>
      </c>
      <c r="C86" s="125" t="str">
        <f>IF('LOSS LIST'!J81 = 0, "-", 'LOSS LIST'!J81)</f>
        <v>-</v>
      </c>
      <c r="E86" s="32"/>
      <c r="F86" s="32"/>
      <c r="G86" s="32"/>
      <c r="H86" s="113"/>
      <c r="I86" s="151"/>
      <c r="K86" s="98"/>
      <c r="M86" s="129"/>
      <c r="O86" s="100"/>
    </row>
    <row r="87" spans="1:15" x14ac:dyDescent="0.25">
      <c r="A87" s="10">
        <v>78</v>
      </c>
      <c r="B87" s="9" t="str">
        <f>IF('LOSS LIST'!B82 = 0, "-", 'LOSS LIST'!B82)</f>
        <v>-</v>
      </c>
      <c r="C87" s="125" t="str">
        <f>IF('LOSS LIST'!J82 = 0, "-", 'LOSS LIST'!J82)</f>
        <v>-</v>
      </c>
      <c r="E87" s="32"/>
      <c r="F87" s="32"/>
      <c r="G87" s="32"/>
      <c r="H87" s="113"/>
      <c r="I87" s="151"/>
      <c r="K87" s="98"/>
      <c r="M87" s="129"/>
      <c r="O87" s="100"/>
    </row>
    <row r="88" spans="1:15" x14ac:dyDescent="0.25">
      <c r="A88" s="10">
        <v>79</v>
      </c>
      <c r="B88" s="9" t="str">
        <f>IF('LOSS LIST'!B83 = 0, "-", 'LOSS LIST'!B83)</f>
        <v>-</v>
      </c>
      <c r="C88" s="125" t="str">
        <f>IF('LOSS LIST'!J83 = 0, "-", 'LOSS LIST'!J83)</f>
        <v>-</v>
      </c>
      <c r="E88" s="32"/>
      <c r="F88" s="32"/>
      <c r="G88" s="32"/>
      <c r="H88" s="113"/>
      <c r="I88" s="151"/>
      <c r="K88" s="98"/>
      <c r="M88" s="129"/>
      <c r="O88" s="100"/>
    </row>
    <row r="89" spans="1:15" x14ac:dyDescent="0.25">
      <c r="A89" s="10">
        <v>80</v>
      </c>
      <c r="B89" s="9" t="str">
        <f>IF('LOSS LIST'!B84 = 0, "-", 'LOSS LIST'!B84)</f>
        <v>-</v>
      </c>
      <c r="C89" s="125" t="str">
        <f>IF('LOSS LIST'!J84 = 0, "-", 'LOSS LIST'!J84)</f>
        <v>-</v>
      </c>
      <c r="E89" s="32"/>
      <c r="F89" s="32"/>
      <c r="G89" s="32"/>
      <c r="H89" s="113"/>
      <c r="I89" s="151"/>
      <c r="K89" s="98"/>
      <c r="M89" s="129"/>
      <c r="O89" s="100"/>
    </row>
    <row r="90" spans="1:15" x14ac:dyDescent="0.25">
      <c r="A90" s="10">
        <v>81</v>
      </c>
      <c r="B90" s="9" t="str">
        <f>IF('LOSS LIST'!B85 = 0, "-", 'LOSS LIST'!B85)</f>
        <v>-</v>
      </c>
      <c r="C90" s="125" t="str">
        <f>IF('LOSS LIST'!J85 = 0, "-", 'LOSS LIST'!J85)</f>
        <v>-</v>
      </c>
      <c r="E90" s="32"/>
      <c r="F90" s="32"/>
      <c r="G90" s="32"/>
      <c r="H90" s="113"/>
      <c r="I90" s="151"/>
      <c r="K90" s="98"/>
      <c r="M90" s="129"/>
      <c r="O90" s="100"/>
    </row>
    <row r="91" spans="1:15" x14ac:dyDescent="0.25">
      <c r="A91" s="10">
        <v>82</v>
      </c>
      <c r="B91" s="9" t="str">
        <f>IF('LOSS LIST'!B86 = 0, "-", 'LOSS LIST'!B86)</f>
        <v>-</v>
      </c>
      <c r="C91" s="125" t="str">
        <f>IF('LOSS LIST'!J86 = 0, "-", 'LOSS LIST'!J86)</f>
        <v>-</v>
      </c>
      <c r="E91" s="32"/>
      <c r="F91" s="32"/>
      <c r="G91" s="32"/>
      <c r="H91" s="113"/>
      <c r="I91" s="151"/>
      <c r="K91" s="98"/>
      <c r="M91" s="129"/>
      <c r="O91" s="100"/>
    </row>
    <row r="92" spans="1:15" x14ac:dyDescent="0.25">
      <c r="A92" s="10">
        <v>83</v>
      </c>
      <c r="B92" s="9" t="str">
        <f>IF('LOSS LIST'!B87 = 0, "-", 'LOSS LIST'!B87)</f>
        <v>-</v>
      </c>
      <c r="C92" s="125" t="str">
        <f>IF('LOSS LIST'!J87 = 0, "-", 'LOSS LIST'!J87)</f>
        <v>-</v>
      </c>
      <c r="E92" s="32"/>
      <c r="F92" s="32"/>
      <c r="G92" s="32"/>
      <c r="H92" s="113"/>
      <c r="I92" s="151"/>
      <c r="K92" s="98"/>
      <c r="M92" s="129"/>
      <c r="O92" s="100"/>
    </row>
    <row r="93" spans="1:15" x14ac:dyDescent="0.25">
      <c r="A93" s="10">
        <v>84</v>
      </c>
      <c r="B93" s="9" t="str">
        <f>IF('LOSS LIST'!B88 = 0, "-", 'LOSS LIST'!B88)</f>
        <v>-</v>
      </c>
      <c r="C93" s="125" t="str">
        <f>IF('LOSS LIST'!J88 = 0, "-", 'LOSS LIST'!J88)</f>
        <v>-</v>
      </c>
      <c r="E93" s="32"/>
      <c r="F93" s="32"/>
      <c r="G93" s="32"/>
      <c r="H93" s="113"/>
      <c r="I93" s="151"/>
      <c r="K93" s="98"/>
      <c r="M93" s="129"/>
      <c r="O93" s="100"/>
    </row>
    <row r="94" spans="1:15" x14ac:dyDescent="0.25">
      <c r="A94" s="10">
        <v>85</v>
      </c>
      <c r="B94" s="9" t="str">
        <f>IF('LOSS LIST'!B89 = 0, "-", 'LOSS LIST'!B89)</f>
        <v>-</v>
      </c>
      <c r="C94" s="125" t="str">
        <f>IF('LOSS LIST'!J89 = 0, "-", 'LOSS LIST'!J89)</f>
        <v>-</v>
      </c>
      <c r="E94" s="32"/>
      <c r="F94" s="32"/>
      <c r="G94" s="32"/>
      <c r="H94" s="113"/>
      <c r="I94" s="151"/>
      <c r="K94" s="98"/>
      <c r="M94" s="129"/>
      <c r="O94" s="100"/>
    </row>
    <row r="95" spans="1:15" x14ac:dyDescent="0.25">
      <c r="A95" s="10">
        <v>86</v>
      </c>
      <c r="B95" s="9" t="str">
        <f>IF('LOSS LIST'!B90 = 0, "-", 'LOSS LIST'!B90)</f>
        <v>-</v>
      </c>
      <c r="C95" s="125" t="str">
        <f>IF('LOSS LIST'!J90 = 0, "-", 'LOSS LIST'!J90)</f>
        <v>-</v>
      </c>
      <c r="E95" s="32"/>
      <c r="F95" s="32"/>
      <c r="G95" s="32"/>
      <c r="H95" s="113"/>
      <c r="I95" s="151"/>
      <c r="K95" s="98"/>
      <c r="M95" s="129"/>
      <c r="O95" s="100"/>
    </row>
    <row r="96" spans="1:15" x14ac:dyDescent="0.25">
      <c r="A96" s="10">
        <v>87</v>
      </c>
      <c r="B96" s="9" t="str">
        <f>IF('LOSS LIST'!B91 = 0, "-", 'LOSS LIST'!B91)</f>
        <v>-</v>
      </c>
      <c r="C96" s="125" t="str">
        <f>IF('LOSS LIST'!J91 = 0, "-", 'LOSS LIST'!J91)</f>
        <v>-</v>
      </c>
      <c r="E96" s="32"/>
      <c r="F96" s="32"/>
      <c r="G96" s="32"/>
      <c r="H96" s="113"/>
      <c r="I96" s="151"/>
      <c r="K96" s="98"/>
      <c r="M96" s="129"/>
      <c r="O96" s="100"/>
    </row>
    <row r="97" spans="1:15" x14ac:dyDescent="0.25">
      <c r="A97" s="10">
        <v>88</v>
      </c>
      <c r="B97" s="9" t="str">
        <f>IF('LOSS LIST'!B92 = 0, "-", 'LOSS LIST'!B92)</f>
        <v>-</v>
      </c>
      <c r="C97" s="125" t="str">
        <f>IF('LOSS LIST'!J92 = 0, "-", 'LOSS LIST'!J92)</f>
        <v>-</v>
      </c>
      <c r="E97" s="32"/>
      <c r="F97" s="32"/>
      <c r="G97" s="32"/>
      <c r="H97" s="113"/>
      <c r="I97" s="151"/>
      <c r="K97" s="98"/>
      <c r="M97" s="129"/>
      <c r="O97" s="100"/>
    </row>
    <row r="98" spans="1:15" x14ac:dyDescent="0.25">
      <c r="A98" s="10">
        <v>89</v>
      </c>
      <c r="B98" s="9" t="str">
        <f>IF('LOSS LIST'!B93 = 0, "-", 'LOSS LIST'!B93)</f>
        <v>-</v>
      </c>
      <c r="C98" s="125" t="str">
        <f>IF('LOSS LIST'!J93 = 0, "-", 'LOSS LIST'!J93)</f>
        <v>-</v>
      </c>
      <c r="E98" s="32"/>
      <c r="F98" s="32"/>
      <c r="G98" s="32"/>
      <c r="H98" s="113"/>
      <c r="I98" s="151"/>
      <c r="K98" s="98"/>
      <c r="M98" s="129"/>
      <c r="O98" s="100"/>
    </row>
    <row r="99" spans="1:15" x14ac:dyDescent="0.25">
      <c r="A99" s="10">
        <v>90</v>
      </c>
      <c r="B99" s="9" t="str">
        <f>IF('LOSS LIST'!B94 = 0, "-", 'LOSS LIST'!B94)</f>
        <v>-</v>
      </c>
      <c r="C99" s="125" t="str">
        <f>IF('LOSS LIST'!J94 = 0, "-", 'LOSS LIST'!J94)</f>
        <v>-</v>
      </c>
      <c r="E99" s="32"/>
      <c r="F99" s="32"/>
      <c r="G99" s="32"/>
      <c r="H99" s="113"/>
      <c r="I99" s="151"/>
      <c r="K99" s="98"/>
      <c r="M99" s="129"/>
      <c r="O99" s="100"/>
    </row>
    <row r="100" spans="1:15" x14ac:dyDescent="0.25">
      <c r="A100" s="10">
        <v>91</v>
      </c>
      <c r="B100" s="9" t="str">
        <f>IF('LOSS LIST'!B95 = 0, "-", 'LOSS LIST'!B95)</f>
        <v>-</v>
      </c>
      <c r="C100" s="125" t="str">
        <f>IF('LOSS LIST'!J95 = 0, "-", 'LOSS LIST'!J95)</f>
        <v>-</v>
      </c>
      <c r="E100" s="32"/>
      <c r="F100" s="32"/>
      <c r="G100" s="32"/>
      <c r="H100" s="113"/>
      <c r="I100" s="151"/>
      <c r="K100" s="98"/>
      <c r="M100" s="129"/>
      <c r="O100" s="100"/>
    </row>
    <row r="101" spans="1:15" x14ac:dyDescent="0.25">
      <c r="A101" s="10">
        <v>92</v>
      </c>
      <c r="B101" s="9" t="str">
        <f>IF('LOSS LIST'!B96 = 0, "-", 'LOSS LIST'!B96)</f>
        <v>-</v>
      </c>
      <c r="C101" s="125" t="str">
        <f>IF('LOSS LIST'!J96 = 0, "-", 'LOSS LIST'!J96)</f>
        <v>-</v>
      </c>
      <c r="E101" s="32"/>
      <c r="F101" s="32"/>
      <c r="G101" s="32"/>
      <c r="H101" s="113"/>
      <c r="I101" s="151"/>
      <c r="K101" s="98"/>
      <c r="M101" s="129"/>
      <c r="O101" s="100"/>
    </row>
    <row r="102" spans="1:15" x14ac:dyDescent="0.25">
      <c r="A102" s="10">
        <v>93</v>
      </c>
      <c r="B102" s="9" t="str">
        <f>IF('LOSS LIST'!B97 = 0, "-", 'LOSS LIST'!B97)</f>
        <v>-</v>
      </c>
      <c r="C102" s="125" t="str">
        <f>IF('LOSS LIST'!J97 = 0, "-", 'LOSS LIST'!J97)</f>
        <v>-</v>
      </c>
      <c r="E102" s="32"/>
      <c r="F102" s="32"/>
      <c r="G102" s="32"/>
      <c r="H102" s="113"/>
      <c r="I102" s="151"/>
      <c r="K102" s="98"/>
      <c r="M102" s="129"/>
      <c r="O102" s="100"/>
    </row>
    <row r="103" spans="1:15" x14ac:dyDescent="0.25">
      <c r="A103" s="10">
        <v>94</v>
      </c>
      <c r="B103" s="9" t="str">
        <f>IF('LOSS LIST'!B98 = 0, "-", 'LOSS LIST'!B98)</f>
        <v>-</v>
      </c>
      <c r="C103" s="125" t="str">
        <f>IF('LOSS LIST'!J98 = 0, "-", 'LOSS LIST'!J98)</f>
        <v>-</v>
      </c>
      <c r="E103" s="32"/>
      <c r="F103" s="32"/>
      <c r="G103" s="32"/>
      <c r="H103" s="113"/>
      <c r="I103" s="151"/>
      <c r="K103" s="98"/>
      <c r="M103" s="129"/>
      <c r="O103" s="100"/>
    </row>
    <row r="104" spans="1:15" x14ac:dyDescent="0.25">
      <c r="A104" s="10">
        <v>95</v>
      </c>
      <c r="B104" s="9" t="str">
        <f>IF('LOSS LIST'!B99 = 0, "-", 'LOSS LIST'!B99)</f>
        <v>-</v>
      </c>
      <c r="C104" s="125" t="str">
        <f>IF('LOSS LIST'!J99 = 0, "-", 'LOSS LIST'!J99)</f>
        <v>-</v>
      </c>
      <c r="E104" s="32"/>
      <c r="F104" s="32"/>
      <c r="G104" s="32"/>
      <c r="H104" s="113"/>
      <c r="I104" s="151"/>
      <c r="K104" s="98"/>
      <c r="M104" s="129"/>
      <c r="O104" s="100"/>
    </row>
    <row r="105" spans="1:15" x14ac:dyDescent="0.25">
      <c r="A105" s="10">
        <v>96</v>
      </c>
      <c r="B105" s="9" t="str">
        <f>IF('LOSS LIST'!B100 = 0, "-", 'LOSS LIST'!B100)</f>
        <v>-</v>
      </c>
      <c r="C105" s="125" t="str">
        <f>IF('LOSS LIST'!J100 = 0, "-", 'LOSS LIST'!J100)</f>
        <v>-</v>
      </c>
      <c r="E105" s="32"/>
      <c r="F105" s="32"/>
      <c r="G105" s="32"/>
      <c r="H105" s="113"/>
      <c r="I105" s="151"/>
      <c r="K105" s="98"/>
      <c r="M105" s="129"/>
      <c r="O105" s="100"/>
    </row>
    <row r="106" spans="1:15" x14ac:dyDescent="0.25">
      <c r="A106" s="10">
        <v>97</v>
      </c>
      <c r="B106" s="9" t="str">
        <f>IF('LOSS LIST'!B101 = 0, "-", 'LOSS LIST'!B101)</f>
        <v>-</v>
      </c>
      <c r="C106" s="125" t="str">
        <f>IF('LOSS LIST'!J101 = 0, "-", 'LOSS LIST'!J101)</f>
        <v>-</v>
      </c>
      <c r="E106" s="32"/>
      <c r="F106" s="32"/>
      <c r="G106" s="32"/>
      <c r="H106" s="113"/>
      <c r="I106" s="151"/>
      <c r="K106" s="98"/>
      <c r="M106" s="129"/>
      <c r="O106" s="100"/>
    </row>
    <row r="107" spans="1:15" x14ac:dyDescent="0.25">
      <c r="A107" s="10">
        <v>98</v>
      </c>
      <c r="B107" s="9" t="str">
        <f>IF('LOSS LIST'!B102 = 0, "-", 'LOSS LIST'!B102)</f>
        <v>-</v>
      </c>
      <c r="C107" s="125" t="str">
        <f>IF('LOSS LIST'!J102 = 0, "-", 'LOSS LIST'!J102)</f>
        <v>-</v>
      </c>
      <c r="E107" s="32"/>
      <c r="F107" s="32"/>
      <c r="G107" s="32"/>
      <c r="H107" s="113"/>
      <c r="I107" s="151"/>
      <c r="K107" s="98"/>
      <c r="M107" s="129"/>
      <c r="O107" s="100"/>
    </row>
    <row r="108" spans="1:15" x14ac:dyDescent="0.25">
      <c r="A108" s="10">
        <v>99</v>
      </c>
      <c r="B108" s="9" t="str">
        <f>IF('LOSS LIST'!B103 = 0, "-", 'LOSS LIST'!B103)</f>
        <v>-</v>
      </c>
      <c r="C108" s="125" t="str">
        <f>IF('LOSS LIST'!J103 = 0, "-", 'LOSS LIST'!J103)</f>
        <v>-</v>
      </c>
      <c r="E108" s="32"/>
      <c r="F108" s="32"/>
      <c r="G108" s="32"/>
      <c r="H108" s="113"/>
      <c r="I108" s="151"/>
      <c r="K108" s="98"/>
      <c r="M108" s="129"/>
      <c r="O108" s="100"/>
    </row>
    <row r="109" spans="1:15" x14ac:dyDescent="0.25">
      <c r="A109" s="10">
        <v>100</v>
      </c>
      <c r="B109" s="9" t="str">
        <f>IF('LOSS LIST'!B104 = 0, "-", 'LOSS LIST'!B104)</f>
        <v>-</v>
      </c>
      <c r="C109" s="125" t="str">
        <f>IF('LOSS LIST'!J104 = 0, "-", 'LOSS LIST'!J104)</f>
        <v>-</v>
      </c>
      <c r="E109" s="32"/>
      <c r="F109" s="32"/>
      <c r="G109" s="32"/>
      <c r="H109" s="113"/>
      <c r="I109" s="151"/>
      <c r="K109" s="98"/>
      <c r="M109" s="129"/>
      <c r="O109" s="100"/>
    </row>
    <row r="110" spans="1:15" x14ac:dyDescent="0.25">
      <c r="A110" s="10">
        <v>101</v>
      </c>
      <c r="B110" s="9" t="str">
        <f>IF('LOSS LIST'!B105 = 0, "-", 'LOSS LIST'!B105)</f>
        <v>-</v>
      </c>
      <c r="C110" s="125" t="str">
        <f>IF('LOSS LIST'!J105 = 0, "-", 'LOSS LIST'!J105)</f>
        <v>-</v>
      </c>
      <c r="E110" s="32"/>
      <c r="F110" s="32"/>
      <c r="G110" s="32"/>
      <c r="H110" s="113"/>
      <c r="I110" s="151"/>
      <c r="K110" s="98"/>
      <c r="M110" s="129"/>
      <c r="O110" s="100"/>
    </row>
    <row r="111" spans="1:15" x14ac:dyDescent="0.25">
      <c r="A111" s="10">
        <v>102</v>
      </c>
      <c r="B111" s="9" t="str">
        <f>IF('LOSS LIST'!B106 = 0, "-", 'LOSS LIST'!B106)</f>
        <v>-</v>
      </c>
      <c r="C111" s="125" t="str">
        <f>IF('LOSS LIST'!J106 = 0, "-", 'LOSS LIST'!J106)</f>
        <v>-</v>
      </c>
      <c r="E111" s="32"/>
      <c r="F111" s="32"/>
      <c r="G111" s="32"/>
      <c r="H111" s="113"/>
      <c r="I111" s="151"/>
      <c r="K111" s="98"/>
      <c r="M111" s="129"/>
      <c r="O111" s="100"/>
    </row>
    <row r="112" spans="1:15" x14ac:dyDescent="0.25">
      <c r="A112" s="10">
        <v>103</v>
      </c>
      <c r="B112" s="9" t="str">
        <f>IF('LOSS LIST'!B107 = 0, "-", 'LOSS LIST'!B107)</f>
        <v>-</v>
      </c>
      <c r="C112" s="125" t="str">
        <f>IF('LOSS LIST'!J107 = 0, "-", 'LOSS LIST'!J107)</f>
        <v>-</v>
      </c>
      <c r="E112" s="32"/>
      <c r="F112" s="32"/>
      <c r="G112" s="32"/>
      <c r="H112" s="113"/>
      <c r="I112" s="151"/>
      <c r="K112" s="98"/>
      <c r="M112" s="129"/>
      <c r="O112" s="100"/>
    </row>
    <row r="113" spans="1:15" x14ac:dyDescent="0.25">
      <c r="A113" s="10">
        <v>104</v>
      </c>
      <c r="B113" s="9" t="str">
        <f>IF('LOSS LIST'!B108 = 0, "-", 'LOSS LIST'!B108)</f>
        <v>-</v>
      </c>
      <c r="C113" s="125" t="str">
        <f>IF('LOSS LIST'!J108 = 0, "-", 'LOSS LIST'!J108)</f>
        <v>-</v>
      </c>
      <c r="E113" s="32"/>
      <c r="F113" s="32"/>
      <c r="G113" s="32"/>
      <c r="H113" s="113"/>
      <c r="I113" s="151"/>
      <c r="K113" s="98"/>
      <c r="M113" s="129"/>
      <c r="O113" s="100"/>
    </row>
    <row r="114" spans="1:15" x14ac:dyDescent="0.25">
      <c r="A114" s="10">
        <v>105</v>
      </c>
      <c r="B114" s="9" t="str">
        <f>IF('LOSS LIST'!B109 = 0, "-", 'LOSS LIST'!B109)</f>
        <v>-</v>
      </c>
      <c r="C114" s="125" t="str">
        <f>IF('LOSS LIST'!J109 = 0, "-", 'LOSS LIST'!J109)</f>
        <v>-</v>
      </c>
      <c r="E114" s="32"/>
      <c r="F114" s="32"/>
      <c r="G114" s="32"/>
      <c r="H114" s="113"/>
      <c r="I114" s="151"/>
      <c r="K114" s="98"/>
      <c r="M114" s="129"/>
      <c r="O114" s="100"/>
    </row>
    <row r="115" spans="1:15" x14ac:dyDescent="0.25">
      <c r="A115" s="10">
        <v>106</v>
      </c>
      <c r="B115" s="9" t="str">
        <f>IF('LOSS LIST'!B110 = 0, "-", 'LOSS LIST'!B110)</f>
        <v>-</v>
      </c>
      <c r="C115" s="125" t="str">
        <f>IF('LOSS LIST'!J110 = 0, "-", 'LOSS LIST'!J110)</f>
        <v>-</v>
      </c>
      <c r="E115" s="32"/>
      <c r="F115" s="32"/>
      <c r="G115" s="32"/>
      <c r="H115" s="113"/>
      <c r="I115" s="151"/>
      <c r="K115" s="98"/>
      <c r="M115" s="129"/>
      <c r="O115" s="100"/>
    </row>
    <row r="116" spans="1:15" x14ac:dyDescent="0.25">
      <c r="A116" s="10">
        <v>107</v>
      </c>
      <c r="B116" s="9" t="str">
        <f>IF('LOSS LIST'!B111 = 0, "-", 'LOSS LIST'!B111)</f>
        <v>-</v>
      </c>
      <c r="C116" s="125" t="str">
        <f>IF('LOSS LIST'!J111 = 0, "-", 'LOSS LIST'!J111)</f>
        <v>-</v>
      </c>
      <c r="E116" s="32"/>
      <c r="F116" s="32"/>
      <c r="G116" s="32"/>
      <c r="H116" s="113"/>
      <c r="I116" s="151"/>
      <c r="K116" s="98"/>
      <c r="M116" s="129"/>
      <c r="O116" s="100"/>
    </row>
    <row r="117" spans="1:15" x14ac:dyDescent="0.25">
      <c r="A117" s="10">
        <v>108</v>
      </c>
      <c r="B117" s="9" t="str">
        <f>IF('LOSS LIST'!B112 = 0, "-", 'LOSS LIST'!B112)</f>
        <v>-</v>
      </c>
      <c r="C117" s="125" t="str">
        <f>IF('LOSS LIST'!J112 = 0, "-", 'LOSS LIST'!J112)</f>
        <v>-</v>
      </c>
      <c r="E117" s="32"/>
      <c r="F117" s="32"/>
      <c r="G117" s="32"/>
      <c r="H117" s="113"/>
      <c r="I117" s="151"/>
      <c r="K117" s="98"/>
      <c r="M117" s="129"/>
      <c r="O117" s="100"/>
    </row>
    <row r="118" spans="1:15" x14ac:dyDescent="0.25">
      <c r="A118" s="10">
        <v>109</v>
      </c>
      <c r="B118" s="9" t="str">
        <f>IF('LOSS LIST'!B113 = 0, "-", 'LOSS LIST'!B113)</f>
        <v>-</v>
      </c>
      <c r="C118" s="125" t="str">
        <f>IF('LOSS LIST'!J113 = 0, "-", 'LOSS LIST'!J113)</f>
        <v>-</v>
      </c>
      <c r="E118" s="32"/>
      <c r="F118" s="32"/>
      <c r="G118" s="32"/>
      <c r="H118" s="113"/>
      <c r="I118" s="151"/>
      <c r="K118" s="98"/>
      <c r="M118" s="129"/>
      <c r="O118" s="100"/>
    </row>
    <row r="119" spans="1:15" x14ac:dyDescent="0.25">
      <c r="A119" s="10">
        <v>110</v>
      </c>
      <c r="B119" s="9" t="str">
        <f>IF('LOSS LIST'!B114 = 0, "-", 'LOSS LIST'!B114)</f>
        <v>-</v>
      </c>
      <c r="C119" s="125" t="str">
        <f>IF('LOSS LIST'!J114 = 0, "-", 'LOSS LIST'!J114)</f>
        <v>-</v>
      </c>
      <c r="E119" s="32"/>
      <c r="F119" s="32"/>
      <c r="G119" s="32"/>
      <c r="H119" s="113"/>
      <c r="I119" s="151"/>
      <c r="K119" s="98"/>
      <c r="M119" s="129"/>
      <c r="O119" s="100"/>
    </row>
    <row r="120" spans="1:15" x14ac:dyDescent="0.25">
      <c r="A120" s="10">
        <v>111</v>
      </c>
      <c r="B120" s="9" t="str">
        <f>IF('LOSS LIST'!B115 = 0, "-", 'LOSS LIST'!B115)</f>
        <v>-</v>
      </c>
      <c r="C120" s="125" t="str">
        <f>IF('LOSS LIST'!J115 = 0, "-", 'LOSS LIST'!J115)</f>
        <v>-</v>
      </c>
      <c r="E120" s="32"/>
      <c r="F120" s="32"/>
      <c r="G120" s="32"/>
      <c r="H120" s="113"/>
      <c r="I120" s="151"/>
      <c r="K120" s="98"/>
      <c r="M120" s="129"/>
      <c r="O120" s="100"/>
    </row>
    <row r="121" spans="1:15" x14ac:dyDescent="0.25">
      <c r="A121" s="10">
        <v>112</v>
      </c>
      <c r="B121" s="9" t="str">
        <f>IF('LOSS LIST'!B116 = 0, "-", 'LOSS LIST'!B116)</f>
        <v>-</v>
      </c>
      <c r="C121" s="125" t="str">
        <f>IF('LOSS LIST'!J116 = 0, "-", 'LOSS LIST'!J116)</f>
        <v>-</v>
      </c>
      <c r="E121" s="32"/>
      <c r="F121" s="32"/>
      <c r="G121" s="32"/>
      <c r="H121" s="113"/>
      <c r="I121" s="151"/>
      <c r="K121" s="98"/>
      <c r="M121" s="129"/>
      <c r="O121" s="100"/>
    </row>
    <row r="122" spans="1:15" x14ac:dyDescent="0.25">
      <c r="A122" s="10">
        <v>113</v>
      </c>
      <c r="B122" s="9" t="str">
        <f>IF('LOSS LIST'!B117 = 0, "-", 'LOSS LIST'!B117)</f>
        <v>-</v>
      </c>
      <c r="C122" s="125" t="str">
        <f>IF('LOSS LIST'!J117 = 0, "-", 'LOSS LIST'!J117)</f>
        <v>-</v>
      </c>
      <c r="E122" s="32"/>
      <c r="F122" s="32"/>
      <c r="G122" s="32"/>
      <c r="H122" s="113"/>
      <c r="I122" s="151"/>
      <c r="K122" s="98"/>
      <c r="M122" s="129"/>
      <c r="O122" s="100"/>
    </row>
    <row r="123" spans="1:15" x14ac:dyDescent="0.25">
      <c r="A123" s="10">
        <v>114</v>
      </c>
      <c r="B123" s="9" t="str">
        <f>IF('LOSS LIST'!B118 = 0, "-", 'LOSS LIST'!B118)</f>
        <v>-</v>
      </c>
      <c r="C123" s="125" t="str">
        <f>IF('LOSS LIST'!J118 = 0, "-", 'LOSS LIST'!J118)</f>
        <v>-</v>
      </c>
      <c r="E123" s="32"/>
      <c r="F123" s="32"/>
      <c r="G123" s="32"/>
      <c r="H123" s="113"/>
      <c r="I123" s="151"/>
      <c r="K123" s="98"/>
      <c r="M123" s="129"/>
      <c r="O123" s="100"/>
    </row>
    <row r="124" spans="1:15" x14ac:dyDescent="0.25">
      <c r="A124" s="10">
        <v>115</v>
      </c>
      <c r="B124" s="9" t="str">
        <f>IF('LOSS LIST'!B119 = 0, "-", 'LOSS LIST'!B119)</f>
        <v>-</v>
      </c>
      <c r="C124" s="125" t="str">
        <f>IF('LOSS LIST'!J119 = 0, "-", 'LOSS LIST'!J119)</f>
        <v>-</v>
      </c>
      <c r="E124" s="32"/>
      <c r="F124" s="32"/>
      <c r="G124" s="32"/>
      <c r="H124" s="113"/>
      <c r="I124" s="151"/>
      <c r="K124" s="98"/>
      <c r="M124" s="129"/>
      <c r="O124" s="100"/>
    </row>
    <row r="125" spans="1:15" x14ac:dyDescent="0.25">
      <c r="A125" s="10">
        <v>116</v>
      </c>
      <c r="B125" s="9" t="str">
        <f>IF('LOSS LIST'!B120 = 0, "-", 'LOSS LIST'!B120)</f>
        <v>-</v>
      </c>
      <c r="C125" s="125" t="str">
        <f>IF('LOSS LIST'!J120 = 0, "-", 'LOSS LIST'!J120)</f>
        <v>-</v>
      </c>
      <c r="E125" s="32"/>
      <c r="F125" s="32"/>
      <c r="G125" s="32"/>
      <c r="H125" s="113"/>
      <c r="I125" s="151"/>
      <c r="K125" s="98"/>
      <c r="M125" s="129"/>
      <c r="O125" s="100"/>
    </row>
    <row r="126" spans="1:15" x14ac:dyDescent="0.25">
      <c r="A126" s="10">
        <v>117</v>
      </c>
      <c r="B126" s="9" t="str">
        <f>IF('LOSS LIST'!B121 = 0, "-", 'LOSS LIST'!B121)</f>
        <v>-</v>
      </c>
      <c r="C126" s="125" t="str">
        <f>IF('LOSS LIST'!J121 = 0, "-", 'LOSS LIST'!J121)</f>
        <v>-</v>
      </c>
      <c r="E126" s="32"/>
      <c r="F126" s="32"/>
      <c r="G126" s="32"/>
      <c r="H126" s="113"/>
      <c r="I126" s="151"/>
      <c r="K126" s="98"/>
      <c r="M126" s="129"/>
      <c r="O126" s="100"/>
    </row>
    <row r="127" spans="1:15" x14ac:dyDescent="0.25">
      <c r="A127" s="10">
        <v>118</v>
      </c>
      <c r="B127" s="9" t="str">
        <f>IF('LOSS LIST'!B122 = 0, "-", 'LOSS LIST'!B122)</f>
        <v>-</v>
      </c>
      <c r="C127" s="125" t="str">
        <f>IF('LOSS LIST'!J122 = 0, "-", 'LOSS LIST'!J122)</f>
        <v>-</v>
      </c>
      <c r="E127" s="32"/>
      <c r="F127" s="32"/>
      <c r="G127" s="32"/>
      <c r="H127" s="113"/>
      <c r="I127" s="151"/>
      <c r="K127" s="98"/>
      <c r="M127" s="129"/>
      <c r="O127" s="100"/>
    </row>
    <row r="128" spans="1:15" x14ac:dyDescent="0.25">
      <c r="A128" s="10">
        <v>119</v>
      </c>
      <c r="B128" s="9" t="str">
        <f>IF('LOSS LIST'!B123 = 0, "-", 'LOSS LIST'!B123)</f>
        <v>-</v>
      </c>
      <c r="C128" s="125" t="str">
        <f>IF('LOSS LIST'!J123 = 0, "-", 'LOSS LIST'!J123)</f>
        <v>-</v>
      </c>
      <c r="E128" s="32"/>
      <c r="F128" s="32"/>
      <c r="G128" s="32"/>
      <c r="H128" s="113"/>
      <c r="I128" s="151"/>
      <c r="K128" s="98"/>
      <c r="M128" s="129"/>
      <c r="O128" s="100"/>
    </row>
    <row r="129" spans="1:15" x14ac:dyDescent="0.25">
      <c r="A129" s="10">
        <v>120</v>
      </c>
      <c r="B129" s="9" t="str">
        <f>IF('LOSS LIST'!B124 = 0, "-", 'LOSS LIST'!B124)</f>
        <v>-</v>
      </c>
      <c r="C129" s="125" t="str">
        <f>IF('LOSS LIST'!J124 = 0, "-", 'LOSS LIST'!J124)</f>
        <v>-</v>
      </c>
      <c r="E129" s="32"/>
      <c r="F129" s="32"/>
      <c r="G129" s="32"/>
      <c r="H129" s="113"/>
      <c r="I129" s="151"/>
      <c r="K129" s="98"/>
      <c r="M129" s="129"/>
      <c r="O129" s="100"/>
    </row>
    <row r="130" spans="1:15" x14ac:dyDescent="0.25">
      <c r="A130" s="10">
        <v>121</v>
      </c>
      <c r="B130" s="9" t="str">
        <f>IF('LOSS LIST'!B125 = 0, "-", 'LOSS LIST'!B125)</f>
        <v>-</v>
      </c>
      <c r="C130" s="125" t="str">
        <f>IF('LOSS LIST'!J125 = 0, "-", 'LOSS LIST'!J125)</f>
        <v>-</v>
      </c>
      <c r="E130" s="32"/>
      <c r="F130" s="32"/>
      <c r="G130" s="32"/>
      <c r="H130" s="113"/>
      <c r="I130" s="151"/>
      <c r="K130" s="98"/>
      <c r="M130" s="129"/>
      <c r="O130" s="100"/>
    </row>
    <row r="131" spans="1:15" x14ac:dyDescent="0.25">
      <c r="A131" s="10">
        <v>122</v>
      </c>
      <c r="B131" s="9" t="str">
        <f>IF('LOSS LIST'!B126 = 0, "-", 'LOSS LIST'!B126)</f>
        <v>-</v>
      </c>
      <c r="C131" s="125" t="str">
        <f>IF('LOSS LIST'!J126 = 0, "-", 'LOSS LIST'!J126)</f>
        <v>-</v>
      </c>
      <c r="E131" s="32"/>
      <c r="F131" s="32"/>
      <c r="G131" s="32"/>
      <c r="H131" s="113"/>
      <c r="I131" s="151"/>
      <c r="K131" s="98"/>
      <c r="M131" s="129"/>
      <c r="O131" s="100"/>
    </row>
    <row r="132" spans="1:15" x14ac:dyDescent="0.25">
      <c r="A132" s="10">
        <v>123</v>
      </c>
      <c r="B132" s="9" t="str">
        <f>IF('LOSS LIST'!B127 = 0, "-", 'LOSS LIST'!B127)</f>
        <v>-</v>
      </c>
      <c r="C132" s="125" t="str">
        <f>IF('LOSS LIST'!J127 = 0, "-", 'LOSS LIST'!J127)</f>
        <v>-</v>
      </c>
      <c r="E132" s="32"/>
      <c r="F132" s="32"/>
      <c r="G132" s="32"/>
      <c r="H132" s="113"/>
      <c r="I132" s="151"/>
      <c r="K132" s="98"/>
      <c r="M132" s="129"/>
      <c r="O132" s="100"/>
    </row>
    <row r="133" spans="1:15" x14ac:dyDescent="0.25">
      <c r="A133" s="10">
        <v>124</v>
      </c>
      <c r="B133" s="9" t="str">
        <f>IF('LOSS LIST'!B128 = 0, "-", 'LOSS LIST'!B128)</f>
        <v>-</v>
      </c>
      <c r="C133" s="125" t="str">
        <f>IF('LOSS LIST'!J128 = 0, "-", 'LOSS LIST'!J128)</f>
        <v>-</v>
      </c>
      <c r="E133" s="32"/>
      <c r="F133" s="32"/>
      <c r="G133" s="32"/>
      <c r="H133" s="113"/>
      <c r="I133" s="151"/>
      <c r="K133" s="98"/>
      <c r="M133" s="129"/>
      <c r="O133" s="100"/>
    </row>
    <row r="134" spans="1:15" x14ac:dyDescent="0.25">
      <c r="A134" s="10">
        <v>125</v>
      </c>
      <c r="B134" s="9" t="str">
        <f>IF('LOSS LIST'!B129 = 0, "-", 'LOSS LIST'!B129)</f>
        <v>-</v>
      </c>
      <c r="C134" s="125" t="str">
        <f>IF('LOSS LIST'!J129 = 0, "-", 'LOSS LIST'!J129)</f>
        <v>-</v>
      </c>
      <c r="E134" s="32"/>
      <c r="F134" s="32"/>
      <c r="G134" s="32"/>
      <c r="H134" s="113"/>
      <c r="I134" s="151"/>
      <c r="K134" s="98"/>
      <c r="M134" s="129"/>
      <c r="O134" s="100"/>
    </row>
    <row r="135" spans="1:15" x14ac:dyDescent="0.25">
      <c r="A135" s="10">
        <v>126</v>
      </c>
      <c r="B135" s="9" t="str">
        <f>IF('LOSS LIST'!B130 = 0, "-", 'LOSS LIST'!B130)</f>
        <v>-</v>
      </c>
      <c r="C135" s="125" t="str">
        <f>IF('LOSS LIST'!J130 = 0, "-", 'LOSS LIST'!J130)</f>
        <v>-</v>
      </c>
      <c r="E135" s="32"/>
      <c r="F135" s="32"/>
      <c r="G135" s="32"/>
      <c r="H135" s="113"/>
      <c r="I135" s="151"/>
      <c r="K135" s="98"/>
      <c r="M135" s="129"/>
      <c r="O135" s="100"/>
    </row>
    <row r="136" spans="1:15" x14ac:dyDescent="0.25">
      <c r="A136" s="10">
        <v>127</v>
      </c>
      <c r="B136" s="9" t="str">
        <f>IF('LOSS LIST'!B131 = 0, "-", 'LOSS LIST'!B131)</f>
        <v>-</v>
      </c>
      <c r="C136" s="125" t="str">
        <f>IF('LOSS LIST'!J131 = 0, "-", 'LOSS LIST'!J131)</f>
        <v>-</v>
      </c>
      <c r="E136" s="32"/>
      <c r="F136" s="32"/>
      <c r="G136" s="32"/>
      <c r="H136" s="113"/>
      <c r="I136" s="151"/>
      <c r="K136" s="98"/>
      <c r="M136" s="129"/>
      <c r="O136" s="100"/>
    </row>
    <row r="137" spans="1:15" x14ac:dyDescent="0.25">
      <c r="A137" s="10">
        <v>128</v>
      </c>
      <c r="B137" s="9" t="str">
        <f>IF('LOSS LIST'!B132 = 0, "-", 'LOSS LIST'!B132)</f>
        <v>-</v>
      </c>
      <c r="C137" s="125" t="str">
        <f>IF('LOSS LIST'!J132 = 0, "-", 'LOSS LIST'!J132)</f>
        <v>-</v>
      </c>
      <c r="E137" s="32"/>
      <c r="F137" s="32"/>
      <c r="G137" s="32"/>
      <c r="H137" s="113"/>
      <c r="I137" s="151"/>
      <c r="K137" s="98"/>
      <c r="M137" s="129"/>
      <c r="O137" s="100"/>
    </row>
    <row r="138" spans="1:15" x14ac:dyDescent="0.25">
      <c r="A138" s="10">
        <v>129</v>
      </c>
      <c r="B138" s="9" t="str">
        <f>IF('LOSS LIST'!B133 = 0, "-", 'LOSS LIST'!B133)</f>
        <v>-</v>
      </c>
      <c r="C138" s="125" t="str">
        <f>IF('LOSS LIST'!J133 = 0, "-", 'LOSS LIST'!J133)</f>
        <v>-</v>
      </c>
      <c r="E138" s="32"/>
      <c r="F138" s="32"/>
      <c r="G138" s="32"/>
      <c r="H138" s="113"/>
      <c r="I138" s="151"/>
      <c r="K138" s="98"/>
      <c r="M138" s="129"/>
      <c r="O138" s="100"/>
    </row>
    <row r="139" spans="1:15" x14ac:dyDescent="0.25">
      <c r="A139" s="10">
        <v>130</v>
      </c>
      <c r="B139" s="9" t="str">
        <f>IF('LOSS LIST'!B134 = 0, "-", 'LOSS LIST'!B134)</f>
        <v>-</v>
      </c>
      <c r="C139" s="125" t="str">
        <f>IF('LOSS LIST'!J134 = 0, "-", 'LOSS LIST'!J134)</f>
        <v>-</v>
      </c>
      <c r="E139" s="32"/>
      <c r="F139" s="32"/>
      <c r="G139" s="32"/>
      <c r="H139" s="113"/>
      <c r="I139" s="151"/>
      <c r="K139" s="98"/>
      <c r="M139" s="129"/>
      <c r="O139" s="100"/>
    </row>
    <row r="140" spans="1:15" x14ac:dyDescent="0.25">
      <c r="A140" s="10">
        <v>131</v>
      </c>
      <c r="B140" s="9" t="str">
        <f>IF('LOSS LIST'!B135 = 0, "-", 'LOSS LIST'!B135)</f>
        <v>-</v>
      </c>
      <c r="C140" s="125" t="str">
        <f>IF('LOSS LIST'!J135 = 0, "-", 'LOSS LIST'!J135)</f>
        <v>-</v>
      </c>
      <c r="E140" s="32"/>
      <c r="F140" s="32"/>
      <c r="G140" s="32"/>
      <c r="H140" s="113"/>
      <c r="I140" s="151"/>
      <c r="K140" s="98"/>
      <c r="M140" s="129"/>
      <c r="O140" s="100"/>
    </row>
    <row r="141" spans="1:15" x14ac:dyDescent="0.25">
      <c r="A141" s="10">
        <v>132</v>
      </c>
      <c r="B141" s="9" t="str">
        <f>IF('LOSS LIST'!B136 = 0, "-", 'LOSS LIST'!B136)</f>
        <v>-</v>
      </c>
      <c r="C141" s="125" t="str">
        <f>IF('LOSS LIST'!J136 = 0, "-", 'LOSS LIST'!J136)</f>
        <v>-</v>
      </c>
      <c r="E141" s="32"/>
      <c r="F141" s="32"/>
      <c r="G141" s="32"/>
      <c r="H141" s="113"/>
      <c r="I141" s="151"/>
      <c r="K141" s="98"/>
      <c r="M141" s="129"/>
      <c r="O141" s="100"/>
    </row>
    <row r="142" spans="1:15" x14ac:dyDescent="0.25">
      <c r="A142" s="10">
        <v>133</v>
      </c>
      <c r="B142" s="9" t="str">
        <f>IF('LOSS LIST'!B137 = 0, "-", 'LOSS LIST'!B137)</f>
        <v>-</v>
      </c>
      <c r="C142" s="125" t="str">
        <f>IF('LOSS LIST'!J137 = 0, "-", 'LOSS LIST'!J137)</f>
        <v>-</v>
      </c>
      <c r="E142" s="32"/>
      <c r="F142" s="32"/>
      <c r="G142" s="32"/>
      <c r="H142" s="113"/>
      <c r="I142" s="151"/>
      <c r="K142" s="98"/>
      <c r="M142" s="129"/>
      <c r="O142" s="100"/>
    </row>
    <row r="143" spans="1:15" x14ac:dyDescent="0.25">
      <c r="A143" s="10">
        <v>134</v>
      </c>
      <c r="B143" s="9" t="str">
        <f>IF('LOSS LIST'!B138 = 0, "-", 'LOSS LIST'!B138)</f>
        <v>-</v>
      </c>
      <c r="C143" s="125" t="str">
        <f>IF('LOSS LIST'!J138 = 0, "-", 'LOSS LIST'!J138)</f>
        <v>-</v>
      </c>
      <c r="E143" s="32"/>
      <c r="F143" s="32"/>
      <c r="G143" s="32"/>
      <c r="H143" s="113"/>
      <c r="I143" s="151"/>
      <c r="K143" s="98"/>
      <c r="M143" s="129"/>
      <c r="O143" s="100"/>
    </row>
    <row r="144" spans="1:15" x14ac:dyDescent="0.25">
      <c r="A144" s="10">
        <v>135</v>
      </c>
      <c r="B144" s="9" t="str">
        <f>IF('LOSS LIST'!B139 = 0, "-", 'LOSS LIST'!B139)</f>
        <v>-</v>
      </c>
      <c r="C144" s="125" t="str">
        <f>IF('LOSS LIST'!J139 = 0, "-", 'LOSS LIST'!J139)</f>
        <v>-</v>
      </c>
      <c r="E144" s="32"/>
      <c r="F144" s="32"/>
      <c r="G144" s="32"/>
      <c r="H144" s="113"/>
      <c r="I144" s="151"/>
      <c r="K144" s="98"/>
      <c r="M144" s="129"/>
      <c r="O144" s="100"/>
    </row>
    <row r="145" spans="1:15" x14ac:dyDescent="0.25">
      <c r="A145" s="10">
        <v>136</v>
      </c>
      <c r="B145" s="9" t="str">
        <f>IF('LOSS LIST'!B140 = 0, "-", 'LOSS LIST'!B140)</f>
        <v>-</v>
      </c>
      <c r="C145" s="125" t="str">
        <f>IF('LOSS LIST'!J140 = 0, "-", 'LOSS LIST'!J140)</f>
        <v>-</v>
      </c>
      <c r="E145" s="32"/>
      <c r="F145" s="32"/>
      <c r="G145" s="32"/>
      <c r="H145" s="113"/>
      <c r="I145" s="151"/>
      <c r="K145" s="98"/>
      <c r="M145" s="129"/>
      <c r="O145" s="100"/>
    </row>
    <row r="146" spans="1:15" x14ac:dyDescent="0.25">
      <c r="A146" s="10">
        <v>137</v>
      </c>
      <c r="B146" s="9" t="str">
        <f>IF('LOSS LIST'!B141 = 0, "-", 'LOSS LIST'!B141)</f>
        <v>-</v>
      </c>
      <c r="C146" s="125" t="str">
        <f>IF('LOSS LIST'!J141 = 0, "-", 'LOSS LIST'!J141)</f>
        <v>-</v>
      </c>
      <c r="E146" s="32"/>
      <c r="F146" s="32"/>
      <c r="G146" s="32"/>
      <c r="H146" s="113"/>
      <c r="I146" s="151"/>
      <c r="K146" s="98"/>
      <c r="M146" s="129"/>
      <c r="O146" s="100"/>
    </row>
    <row r="147" spans="1:15" x14ac:dyDescent="0.25">
      <c r="A147" s="10">
        <v>138</v>
      </c>
      <c r="B147" s="9" t="str">
        <f>IF('LOSS LIST'!B142 = 0, "-", 'LOSS LIST'!B142)</f>
        <v>-</v>
      </c>
      <c r="C147" s="125" t="str">
        <f>IF('LOSS LIST'!J142 = 0, "-", 'LOSS LIST'!J142)</f>
        <v>-</v>
      </c>
      <c r="E147" s="32"/>
      <c r="F147" s="32"/>
      <c r="G147" s="32"/>
      <c r="H147" s="113"/>
      <c r="I147" s="151"/>
      <c r="K147" s="98"/>
      <c r="M147" s="129"/>
      <c r="O147" s="100"/>
    </row>
    <row r="148" spans="1:15" x14ac:dyDescent="0.25">
      <c r="A148" s="10">
        <v>139</v>
      </c>
      <c r="B148" s="9" t="str">
        <f>IF('LOSS LIST'!B143 = 0, "-", 'LOSS LIST'!B143)</f>
        <v>-</v>
      </c>
      <c r="C148" s="125" t="str">
        <f>IF('LOSS LIST'!J143 = 0, "-", 'LOSS LIST'!J143)</f>
        <v>-</v>
      </c>
      <c r="E148" s="32"/>
      <c r="F148" s="32"/>
      <c r="G148" s="32"/>
      <c r="H148" s="113"/>
      <c r="I148" s="151"/>
      <c r="K148" s="98"/>
      <c r="M148" s="129"/>
      <c r="O148" s="100"/>
    </row>
    <row r="149" spans="1:15" x14ac:dyDescent="0.25">
      <c r="A149" s="10">
        <v>140</v>
      </c>
      <c r="B149" s="9" t="str">
        <f>IF('LOSS LIST'!B144 = 0, "-", 'LOSS LIST'!B144)</f>
        <v>-</v>
      </c>
      <c r="C149" s="125" t="str">
        <f>IF('LOSS LIST'!J144 = 0, "-", 'LOSS LIST'!J144)</f>
        <v>-</v>
      </c>
      <c r="E149" s="32"/>
      <c r="F149" s="32"/>
      <c r="G149" s="32"/>
      <c r="H149" s="113"/>
      <c r="I149" s="151"/>
      <c r="K149" s="98"/>
      <c r="M149" s="129"/>
      <c r="O149" s="100"/>
    </row>
    <row r="150" spans="1:15" x14ac:dyDescent="0.25">
      <c r="A150" s="10">
        <v>141</v>
      </c>
      <c r="B150" s="9" t="str">
        <f>IF('LOSS LIST'!B145 = 0, "-", 'LOSS LIST'!B145)</f>
        <v>-</v>
      </c>
      <c r="C150" s="125" t="str">
        <f>IF('LOSS LIST'!J145 = 0, "-", 'LOSS LIST'!J145)</f>
        <v>-</v>
      </c>
      <c r="E150" s="32"/>
      <c r="F150" s="32"/>
      <c r="G150" s="32"/>
      <c r="H150" s="113"/>
      <c r="I150" s="151"/>
      <c r="K150" s="98"/>
      <c r="M150" s="129"/>
      <c r="O150" s="100"/>
    </row>
    <row r="151" spans="1:15" x14ac:dyDescent="0.25">
      <c r="A151" s="10">
        <v>142</v>
      </c>
      <c r="B151" s="9" t="str">
        <f>IF('LOSS LIST'!B146 = 0, "-", 'LOSS LIST'!B146)</f>
        <v>-</v>
      </c>
      <c r="C151" s="125" t="str">
        <f>IF('LOSS LIST'!J146 = 0, "-", 'LOSS LIST'!J146)</f>
        <v>-</v>
      </c>
      <c r="E151" s="32"/>
      <c r="F151" s="32"/>
      <c r="G151" s="32"/>
      <c r="H151" s="113"/>
      <c r="I151" s="151"/>
      <c r="K151" s="98"/>
      <c r="M151" s="129"/>
      <c r="O151" s="100"/>
    </row>
    <row r="152" spans="1:15" x14ac:dyDescent="0.25">
      <c r="A152" s="10">
        <v>143</v>
      </c>
      <c r="B152" s="9" t="str">
        <f>IF('LOSS LIST'!B147 = 0, "-", 'LOSS LIST'!B147)</f>
        <v>-</v>
      </c>
      <c r="C152" s="125" t="str">
        <f>IF('LOSS LIST'!J147 = 0, "-", 'LOSS LIST'!J147)</f>
        <v>-</v>
      </c>
      <c r="E152" s="32"/>
      <c r="F152" s="32"/>
      <c r="G152" s="32"/>
      <c r="H152" s="113"/>
      <c r="I152" s="151"/>
      <c r="K152" s="98"/>
      <c r="M152" s="129"/>
      <c r="O152" s="100"/>
    </row>
    <row r="153" spans="1:15" x14ac:dyDescent="0.25">
      <c r="A153" s="10">
        <v>144</v>
      </c>
      <c r="B153" s="9" t="str">
        <f>IF('LOSS LIST'!B148 = 0, "-", 'LOSS LIST'!B148)</f>
        <v>-</v>
      </c>
      <c r="C153" s="125" t="str">
        <f>IF('LOSS LIST'!J148 = 0, "-", 'LOSS LIST'!J148)</f>
        <v>-</v>
      </c>
      <c r="E153" s="32"/>
      <c r="F153" s="32"/>
      <c r="G153" s="32"/>
      <c r="H153" s="113"/>
      <c r="I153" s="151"/>
      <c r="K153" s="98"/>
      <c r="M153" s="129"/>
      <c r="O153" s="100"/>
    </row>
    <row r="154" spans="1:15" x14ac:dyDescent="0.25">
      <c r="A154" s="10">
        <v>145</v>
      </c>
      <c r="B154" s="9" t="str">
        <f>IF('LOSS LIST'!B149 = 0, "-", 'LOSS LIST'!B149)</f>
        <v>-</v>
      </c>
      <c r="C154" s="125" t="str">
        <f>IF('LOSS LIST'!J149 = 0, "-", 'LOSS LIST'!J149)</f>
        <v>-</v>
      </c>
      <c r="E154" s="32"/>
      <c r="F154" s="32"/>
      <c r="G154" s="32"/>
      <c r="H154" s="113"/>
      <c r="I154" s="151"/>
      <c r="K154" s="98"/>
      <c r="M154" s="129"/>
      <c r="O154" s="100"/>
    </row>
    <row r="155" spans="1:15" x14ac:dyDescent="0.25">
      <c r="A155" s="10">
        <v>146</v>
      </c>
      <c r="B155" s="9" t="str">
        <f>IF('LOSS LIST'!B150 = 0, "-", 'LOSS LIST'!B150)</f>
        <v>-</v>
      </c>
      <c r="C155" s="125" t="str">
        <f>IF('LOSS LIST'!J150 = 0, "-", 'LOSS LIST'!J150)</f>
        <v>-</v>
      </c>
      <c r="E155" s="32"/>
      <c r="F155" s="32"/>
      <c r="G155" s="32"/>
      <c r="H155" s="113"/>
      <c r="I155" s="151"/>
      <c r="K155" s="98"/>
      <c r="M155" s="129"/>
      <c r="O155" s="100"/>
    </row>
    <row r="156" spans="1:15" x14ac:dyDescent="0.25">
      <c r="A156" s="10">
        <v>147</v>
      </c>
      <c r="B156" s="9" t="str">
        <f>IF('LOSS LIST'!B151 = 0, "-", 'LOSS LIST'!B151)</f>
        <v>-</v>
      </c>
      <c r="C156" s="125" t="str">
        <f>IF('LOSS LIST'!J151 = 0, "-", 'LOSS LIST'!J151)</f>
        <v>-</v>
      </c>
      <c r="E156" s="32"/>
      <c r="F156" s="32"/>
      <c r="G156" s="32"/>
      <c r="H156" s="113"/>
      <c r="I156" s="151"/>
      <c r="K156" s="98"/>
      <c r="M156" s="129"/>
      <c r="O156" s="100"/>
    </row>
    <row r="157" spans="1:15" x14ac:dyDescent="0.25">
      <c r="A157" s="10">
        <v>148</v>
      </c>
      <c r="B157" s="9" t="str">
        <f>IF('LOSS LIST'!B152 = 0, "-", 'LOSS LIST'!B152)</f>
        <v>-</v>
      </c>
      <c r="C157" s="125" t="str">
        <f>IF('LOSS LIST'!J152 = 0, "-", 'LOSS LIST'!J152)</f>
        <v>-</v>
      </c>
      <c r="E157" s="32"/>
      <c r="F157" s="32"/>
      <c r="G157" s="32"/>
      <c r="H157" s="113"/>
      <c r="I157" s="151"/>
      <c r="K157" s="98"/>
      <c r="M157" s="129"/>
      <c r="O157" s="100"/>
    </row>
    <row r="158" spans="1:15" x14ac:dyDescent="0.25">
      <c r="A158" s="10">
        <v>149</v>
      </c>
      <c r="B158" s="9" t="str">
        <f>IF('LOSS LIST'!B153 = 0, "-", 'LOSS LIST'!B153)</f>
        <v>-</v>
      </c>
      <c r="C158" s="125" t="str">
        <f>IF('LOSS LIST'!J153 = 0, "-", 'LOSS LIST'!J153)</f>
        <v>-</v>
      </c>
      <c r="E158" s="32"/>
      <c r="F158" s="32"/>
      <c r="G158" s="32"/>
      <c r="H158" s="113"/>
      <c r="I158" s="151"/>
      <c r="K158" s="98"/>
      <c r="M158" s="129"/>
      <c r="O158" s="100"/>
    </row>
    <row r="159" spans="1:15" x14ac:dyDescent="0.25">
      <c r="A159" s="10">
        <v>150</v>
      </c>
      <c r="B159" s="9" t="str">
        <f>IF('LOSS LIST'!B154 = 0, "-", 'LOSS LIST'!B154)</f>
        <v>-</v>
      </c>
      <c r="C159" s="125" t="str">
        <f>IF('LOSS LIST'!J154 = 0, "-", 'LOSS LIST'!J154)</f>
        <v>-</v>
      </c>
      <c r="E159" s="32"/>
      <c r="F159" s="32"/>
      <c r="G159" s="32"/>
      <c r="H159" s="113"/>
      <c r="I159" s="151"/>
      <c r="K159" s="98"/>
      <c r="M159" s="129"/>
      <c r="O159" s="100"/>
    </row>
    <row r="160" spans="1:15" x14ac:dyDescent="0.25">
      <c r="A160" s="10">
        <v>151</v>
      </c>
      <c r="B160" s="9" t="str">
        <f>IF('LOSS LIST'!B155 = 0, "-", 'LOSS LIST'!B155)</f>
        <v>-</v>
      </c>
      <c r="C160" s="125" t="str">
        <f>IF('LOSS LIST'!J155 = 0, "-", 'LOSS LIST'!J155)</f>
        <v>-</v>
      </c>
      <c r="E160" s="32"/>
      <c r="F160" s="32"/>
      <c r="G160" s="32"/>
      <c r="H160" s="113"/>
      <c r="I160" s="151"/>
      <c r="K160" s="98"/>
      <c r="M160" s="129"/>
      <c r="O160" s="100"/>
    </row>
    <row r="161" spans="1:15" x14ac:dyDescent="0.25">
      <c r="A161" s="10">
        <v>152</v>
      </c>
      <c r="B161" s="9" t="str">
        <f>IF('LOSS LIST'!B156 = 0, "-", 'LOSS LIST'!B156)</f>
        <v>-</v>
      </c>
      <c r="C161" s="125" t="str">
        <f>IF('LOSS LIST'!J156 = 0, "-", 'LOSS LIST'!J156)</f>
        <v>-</v>
      </c>
      <c r="E161" s="32"/>
      <c r="F161" s="32"/>
      <c r="G161" s="32"/>
      <c r="H161" s="113"/>
      <c r="I161" s="151"/>
      <c r="K161" s="98"/>
      <c r="M161" s="129"/>
      <c r="O161" s="100"/>
    </row>
    <row r="162" spans="1:15" x14ac:dyDescent="0.25">
      <c r="A162" s="10">
        <v>153</v>
      </c>
      <c r="B162" s="9" t="str">
        <f>IF('LOSS LIST'!B157 = 0, "-", 'LOSS LIST'!B157)</f>
        <v>-</v>
      </c>
      <c r="C162" s="125" t="str">
        <f>IF('LOSS LIST'!J157 = 0, "-", 'LOSS LIST'!J157)</f>
        <v>-</v>
      </c>
      <c r="E162" s="32"/>
      <c r="F162" s="32"/>
      <c r="G162" s="32"/>
      <c r="H162" s="113"/>
      <c r="I162" s="151"/>
      <c r="K162" s="98"/>
      <c r="M162" s="129"/>
      <c r="O162" s="100"/>
    </row>
    <row r="163" spans="1:15" x14ac:dyDescent="0.25">
      <c r="A163" s="10">
        <v>154</v>
      </c>
      <c r="B163" s="9" t="str">
        <f>IF('LOSS LIST'!B158 = 0, "-", 'LOSS LIST'!B158)</f>
        <v>-</v>
      </c>
      <c r="C163" s="125" t="str">
        <f>IF('LOSS LIST'!J158 = 0, "-", 'LOSS LIST'!J158)</f>
        <v>-</v>
      </c>
      <c r="E163" s="32"/>
      <c r="F163" s="32"/>
      <c r="G163" s="32"/>
      <c r="H163" s="113"/>
      <c r="I163" s="151"/>
      <c r="K163" s="98"/>
      <c r="M163" s="129"/>
      <c r="O163" s="100"/>
    </row>
    <row r="164" spans="1:15" x14ac:dyDescent="0.25">
      <c r="A164" s="10">
        <v>155</v>
      </c>
      <c r="B164" s="9" t="str">
        <f>IF('LOSS LIST'!B159 = 0, "-", 'LOSS LIST'!B159)</f>
        <v>-</v>
      </c>
      <c r="C164" s="125" t="str">
        <f>IF('LOSS LIST'!J159 = 0, "-", 'LOSS LIST'!J159)</f>
        <v>-</v>
      </c>
      <c r="E164" s="32"/>
      <c r="F164" s="32"/>
      <c r="G164" s="32"/>
      <c r="H164" s="113"/>
      <c r="I164" s="151"/>
      <c r="K164" s="98"/>
      <c r="M164" s="129"/>
      <c r="O164" s="100"/>
    </row>
    <row r="165" spans="1:15" x14ac:dyDescent="0.25">
      <c r="A165" s="10">
        <v>156</v>
      </c>
      <c r="B165" s="9" t="str">
        <f>IF('LOSS LIST'!B160 = 0, "-", 'LOSS LIST'!B160)</f>
        <v>-</v>
      </c>
      <c r="C165" s="125" t="str">
        <f>IF('LOSS LIST'!J160 = 0, "-", 'LOSS LIST'!J160)</f>
        <v>-</v>
      </c>
      <c r="E165" s="32"/>
      <c r="F165" s="32"/>
      <c r="G165" s="32"/>
      <c r="H165" s="113"/>
      <c r="I165" s="151"/>
      <c r="K165" s="98"/>
      <c r="M165" s="129"/>
      <c r="O165" s="100"/>
    </row>
    <row r="166" spans="1:15" x14ac:dyDescent="0.25">
      <c r="A166" s="10">
        <v>157</v>
      </c>
      <c r="B166" s="9" t="str">
        <f>IF('LOSS LIST'!B161 = 0, "-", 'LOSS LIST'!B161)</f>
        <v>-</v>
      </c>
      <c r="C166" s="125" t="str">
        <f>IF('LOSS LIST'!J161 = 0, "-", 'LOSS LIST'!J161)</f>
        <v>-</v>
      </c>
      <c r="E166" s="32"/>
      <c r="F166" s="32"/>
      <c r="G166" s="32"/>
      <c r="H166" s="113"/>
      <c r="I166" s="151"/>
      <c r="K166" s="98"/>
      <c r="M166" s="129"/>
      <c r="O166" s="100"/>
    </row>
    <row r="167" spans="1:15" x14ac:dyDescent="0.25">
      <c r="A167" s="10">
        <v>158</v>
      </c>
      <c r="B167" s="9" t="str">
        <f>IF('LOSS LIST'!B162 = 0, "-", 'LOSS LIST'!B162)</f>
        <v>-</v>
      </c>
      <c r="C167" s="125" t="str">
        <f>IF('LOSS LIST'!J162 = 0, "-", 'LOSS LIST'!J162)</f>
        <v>-</v>
      </c>
      <c r="E167" s="32"/>
      <c r="F167" s="32"/>
      <c r="G167" s="32"/>
      <c r="H167" s="113"/>
      <c r="I167" s="151"/>
      <c r="K167" s="98"/>
      <c r="M167" s="129"/>
      <c r="O167" s="100"/>
    </row>
    <row r="168" spans="1:15" x14ac:dyDescent="0.25">
      <c r="A168" s="10">
        <v>159</v>
      </c>
      <c r="B168" s="9" t="str">
        <f>IF('LOSS LIST'!B163 = 0, "-", 'LOSS LIST'!B163)</f>
        <v>-</v>
      </c>
      <c r="C168" s="125" t="str">
        <f>IF('LOSS LIST'!J163 = 0, "-", 'LOSS LIST'!J163)</f>
        <v>-</v>
      </c>
      <c r="E168" s="32"/>
      <c r="F168" s="32"/>
      <c r="G168" s="32"/>
      <c r="H168" s="113"/>
      <c r="I168" s="151"/>
      <c r="K168" s="98"/>
      <c r="M168" s="129"/>
      <c r="O168" s="100"/>
    </row>
    <row r="169" spans="1:15" x14ac:dyDescent="0.25">
      <c r="A169" s="10">
        <v>160</v>
      </c>
      <c r="B169" s="9" t="str">
        <f>IF('LOSS LIST'!B164 = 0, "-", 'LOSS LIST'!B164)</f>
        <v>-</v>
      </c>
      <c r="C169" s="125" t="str">
        <f>IF('LOSS LIST'!J164 = 0, "-", 'LOSS LIST'!J164)</f>
        <v>-</v>
      </c>
      <c r="E169" s="32"/>
      <c r="F169" s="32"/>
      <c r="G169" s="32"/>
      <c r="H169" s="113"/>
      <c r="I169" s="151"/>
      <c r="K169" s="98"/>
      <c r="M169" s="129"/>
      <c r="O169" s="100"/>
    </row>
    <row r="170" spans="1:15" x14ac:dyDescent="0.25">
      <c r="A170" s="10">
        <v>161</v>
      </c>
      <c r="B170" s="9" t="str">
        <f>IF('LOSS LIST'!B165 = 0, "-", 'LOSS LIST'!B165)</f>
        <v>-</v>
      </c>
      <c r="C170" s="125" t="str">
        <f>IF('LOSS LIST'!J165 = 0, "-", 'LOSS LIST'!J165)</f>
        <v>-</v>
      </c>
      <c r="E170" s="32"/>
      <c r="F170" s="32"/>
      <c r="G170" s="32"/>
      <c r="H170" s="113"/>
      <c r="I170" s="151"/>
      <c r="K170" s="98"/>
      <c r="M170" s="129"/>
      <c r="O170" s="100"/>
    </row>
    <row r="171" spans="1:15" x14ac:dyDescent="0.25">
      <c r="A171" s="10">
        <v>162</v>
      </c>
      <c r="B171" s="9" t="str">
        <f>IF('LOSS LIST'!B166 = 0, "-", 'LOSS LIST'!B166)</f>
        <v>-</v>
      </c>
      <c r="C171" s="125" t="str">
        <f>IF('LOSS LIST'!J166 = 0, "-", 'LOSS LIST'!J166)</f>
        <v>-</v>
      </c>
      <c r="E171" s="32"/>
      <c r="F171" s="32"/>
      <c r="G171" s="32"/>
      <c r="H171" s="113"/>
      <c r="I171" s="151"/>
      <c r="K171" s="98"/>
      <c r="M171" s="129"/>
      <c r="O171" s="100"/>
    </row>
    <row r="172" spans="1:15" x14ac:dyDescent="0.25">
      <c r="A172" s="10">
        <v>163</v>
      </c>
      <c r="B172" s="9" t="str">
        <f>IF('LOSS LIST'!B167 = 0, "-", 'LOSS LIST'!B167)</f>
        <v>-</v>
      </c>
      <c r="C172" s="125" t="str">
        <f>IF('LOSS LIST'!J167 = 0, "-", 'LOSS LIST'!J167)</f>
        <v>-</v>
      </c>
      <c r="E172" s="32"/>
      <c r="F172" s="32"/>
      <c r="G172" s="32"/>
      <c r="H172" s="113"/>
      <c r="I172" s="151"/>
      <c r="K172" s="98"/>
      <c r="M172" s="129"/>
      <c r="O172" s="100"/>
    </row>
    <row r="173" spans="1:15" x14ac:dyDescent="0.25">
      <c r="A173" s="10">
        <v>164</v>
      </c>
      <c r="B173" s="9" t="str">
        <f>IF('LOSS LIST'!B168 = 0, "-", 'LOSS LIST'!B168)</f>
        <v>-</v>
      </c>
      <c r="C173" s="125" t="str">
        <f>IF('LOSS LIST'!J168 = 0, "-", 'LOSS LIST'!J168)</f>
        <v>-</v>
      </c>
      <c r="E173" s="32"/>
      <c r="F173" s="32"/>
      <c r="G173" s="32"/>
      <c r="H173" s="113"/>
      <c r="I173" s="151"/>
      <c r="K173" s="98"/>
      <c r="M173" s="129"/>
      <c r="O173" s="100"/>
    </row>
    <row r="174" spans="1:15" x14ac:dyDescent="0.25">
      <c r="A174" s="10">
        <v>165</v>
      </c>
      <c r="B174" s="9" t="str">
        <f>IF('LOSS LIST'!B169 = 0, "-", 'LOSS LIST'!B169)</f>
        <v>-</v>
      </c>
      <c r="C174" s="125" t="str">
        <f>IF('LOSS LIST'!J169 = 0, "-", 'LOSS LIST'!J169)</f>
        <v>-</v>
      </c>
      <c r="E174" s="32"/>
      <c r="F174" s="32"/>
      <c r="G174" s="32"/>
      <c r="H174" s="113"/>
      <c r="I174" s="151"/>
      <c r="K174" s="98"/>
      <c r="M174" s="129"/>
      <c r="O174" s="100"/>
    </row>
    <row r="175" spans="1:15" x14ac:dyDescent="0.25">
      <c r="A175" s="10">
        <v>166</v>
      </c>
      <c r="B175" s="9" t="str">
        <f>IF('LOSS LIST'!B170 = 0, "-", 'LOSS LIST'!B170)</f>
        <v>-</v>
      </c>
      <c r="C175" s="125" t="str">
        <f>IF('LOSS LIST'!J170 = 0, "-", 'LOSS LIST'!J170)</f>
        <v>-</v>
      </c>
      <c r="E175" s="32"/>
      <c r="F175" s="32"/>
      <c r="G175" s="32"/>
      <c r="H175" s="113"/>
      <c r="I175" s="151"/>
      <c r="K175" s="98"/>
      <c r="M175" s="129"/>
      <c r="O175" s="100"/>
    </row>
    <row r="176" spans="1:15" x14ac:dyDescent="0.25">
      <c r="A176" s="10">
        <v>167</v>
      </c>
      <c r="B176" s="9" t="str">
        <f>IF('LOSS LIST'!B171 = 0, "-", 'LOSS LIST'!B171)</f>
        <v>-</v>
      </c>
      <c r="C176" s="125" t="str">
        <f>IF('LOSS LIST'!J171 = 0, "-", 'LOSS LIST'!J171)</f>
        <v>-</v>
      </c>
      <c r="E176" s="32"/>
      <c r="F176" s="32"/>
      <c r="G176" s="32"/>
      <c r="H176" s="113"/>
      <c r="I176" s="151"/>
      <c r="K176" s="98"/>
      <c r="M176" s="129"/>
      <c r="O176" s="100"/>
    </row>
    <row r="177" spans="1:15" x14ac:dyDescent="0.25">
      <c r="A177" s="10">
        <v>168</v>
      </c>
      <c r="B177" s="9" t="str">
        <f>IF('LOSS LIST'!B172 = 0, "-", 'LOSS LIST'!B172)</f>
        <v>-</v>
      </c>
      <c r="C177" s="125" t="str">
        <f>IF('LOSS LIST'!J172 = 0, "-", 'LOSS LIST'!J172)</f>
        <v>-</v>
      </c>
      <c r="E177" s="32"/>
      <c r="F177" s="32"/>
      <c r="G177" s="32"/>
      <c r="H177" s="113"/>
      <c r="I177" s="151"/>
      <c r="K177" s="98"/>
      <c r="M177" s="129"/>
      <c r="O177" s="100"/>
    </row>
    <row r="178" spans="1:15" x14ac:dyDescent="0.25">
      <c r="A178" s="10">
        <v>169</v>
      </c>
      <c r="B178" s="9" t="str">
        <f>IF('LOSS LIST'!B173 = 0, "-", 'LOSS LIST'!B173)</f>
        <v>-</v>
      </c>
      <c r="C178" s="125" t="str">
        <f>IF('LOSS LIST'!J173 = 0, "-", 'LOSS LIST'!J173)</f>
        <v>-</v>
      </c>
      <c r="E178" s="32"/>
      <c r="F178" s="32"/>
      <c r="G178" s="32"/>
      <c r="H178" s="113"/>
      <c r="I178" s="151"/>
      <c r="K178" s="98"/>
      <c r="M178" s="129"/>
      <c r="O178" s="100"/>
    </row>
    <row r="179" spans="1:15" x14ac:dyDescent="0.25">
      <c r="A179" s="10">
        <v>170</v>
      </c>
      <c r="B179" s="9" t="str">
        <f>IF('LOSS LIST'!B174 = 0, "-", 'LOSS LIST'!B174)</f>
        <v>-</v>
      </c>
      <c r="C179" s="125" t="str">
        <f>IF('LOSS LIST'!J174 = 0, "-", 'LOSS LIST'!J174)</f>
        <v>-</v>
      </c>
      <c r="E179" s="32"/>
      <c r="F179" s="32"/>
      <c r="G179" s="32"/>
      <c r="H179" s="113"/>
      <c r="I179" s="151"/>
      <c r="K179" s="98"/>
      <c r="M179" s="129"/>
      <c r="O179" s="100"/>
    </row>
    <row r="180" spans="1:15" x14ac:dyDescent="0.25">
      <c r="A180" s="10">
        <v>171</v>
      </c>
      <c r="B180" s="9" t="str">
        <f>IF('LOSS LIST'!B175 = 0, "-", 'LOSS LIST'!B175)</f>
        <v>-</v>
      </c>
      <c r="C180" s="125" t="str">
        <f>IF('LOSS LIST'!J175 = 0, "-", 'LOSS LIST'!J175)</f>
        <v>-</v>
      </c>
      <c r="E180" s="32"/>
      <c r="F180" s="32"/>
      <c r="G180" s="32"/>
      <c r="H180" s="113"/>
      <c r="I180" s="151"/>
      <c r="K180" s="98"/>
      <c r="M180" s="129"/>
      <c r="O180" s="100"/>
    </row>
    <row r="181" spans="1:15" x14ac:dyDescent="0.25">
      <c r="A181" s="10">
        <v>172</v>
      </c>
      <c r="B181" s="9" t="str">
        <f>IF('LOSS LIST'!B176 = 0, "-", 'LOSS LIST'!B176)</f>
        <v>-</v>
      </c>
      <c r="C181" s="125" t="str">
        <f>IF('LOSS LIST'!J176 = 0, "-", 'LOSS LIST'!J176)</f>
        <v>-</v>
      </c>
      <c r="E181" s="32"/>
      <c r="F181" s="32"/>
      <c r="G181" s="32"/>
      <c r="H181" s="113"/>
      <c r="I181" s="151"/>
      <c r="K181" s="98"/>
      <c r="M181" s="129"/>
      <c r="O181" s="100"/>
    </row>
    <row r="182" spans="1:15" x14ac:dyDescent="0.25">
      <c r="A182" s="10">
        <v>173</v>
      </c>
      <c r="B182" s="9" t="str">
        <f>IF('LOSS LIST'!B177 = 0, "-", 'LOSS LIST'!B177)</f>
        <v>-</v>
      </c>
      <c r="C182" s="125" t="str">
        <f>IF('LOSS LIST'!J177 = 0, "-", 'LOSS LIST'!J177)</f>
        <v>-</v>
      </c>
      <c r="E182" s="32"/>
      <c r="F182" s="32"/>
      <c r="G182" s="32"/>
      <c r="H182" s="113"/>
      <c r="I182" s="151"/>
      <c r="K182" s="98"/>
      <c r="M182" s="129"/>
      <c r="O182" s="100"/>
    </row>
    <row r="183" spans="1:15" x14ac:dyDescent="0.25">
      <c r="A183" s="10">
        <v>174</v>
      </c>
      <c r="B183" s="9" t="str">
        <f>IF('LOSS LIST'!B178 = 0, "-", 'LOSS LIST'!B178)</f>
        <v>-</v>
      </c>
      <c r="C183" s="125" t="str">
        <f>IF('LOSS LIST'!J178 = 0, "-", 'LOSS LIST'!J178)</f>
        <v>-</v>
      </c>
      <c r="E183" s="32"/>
      <c r="F183" s="32"/>
      <c r="G183" s="32"/>
      <c r="H183" s="113"/>
      <c r="I183" s="151"/>
      <c r="K183" s="98"/>
      <c r="M183" s="129"/>
      <c r="O183" s="100"/>
    </row>
    <row r="184" spans="1:15" x14ac:dyDescent="0.25">
      <c r="A184" s="10">
        <v>175</v>
      </c>
      <c r="B184" s="9" t="str">
        <f>IF('LOSS LIST'!B179 = 0, "-", 'LOSS LIST'!B179)</f>
        <v>-</v>
      </c>
      <c r="C184" s="125" t="str">
        <f>IF('LOSS LIST'!J179 = 0, "-", 'LOSS LIST'!J179)</f>
        <v>-</v>
      </c>
      <c r="E184" s="32"/>
      <c r="F184" s="32"/>
      <c r="G184" s="32"/>
      <c r="H184" s="113"/>
      <c r="I184" s="151"/>
      <c r="K184" s="98"/>
      <c r="M184" s="129"/>
      <c r="O184" s="100"/>
    </row>
    <row r="185" spans="1:15" x14ac:dyDescent="0.25">
      <c r="A185" s="10">
        <v>176</v>
      </c>
      <c r="B185" s="9" t="str">
        <f>IF('LOSS LIST'!B180 = 0, "-", 'LOSS LIST'!B180)</f>
        <v>-</v>
      </c>
      <c r="C185" s="125" t="str">
        <f>IF('LOSS LIST'!J180 = 0, "-", 'LOSS LIST'!J180)</f>
        <v>-</v>
      </c>
      <c r="E185" s="32"/>
      <c r="F185" s="32"/>
      <c r="G185" s="32"/>
      <c r="H185" s="113"/>
      <c r="I185" s="151"/>
      <c r="K185" s="98"/>
      <c r="M185" s="129"/>
      <c r="O185" s="100"/>
    </row>
    <row r="186" spans="1:15" x14ac:dyDescent="0.25">
      <c r="A186" s="10">
        <v>177</v>
      </c>
      <c r="B186" s="9" t="str">
        <f>IF('LOSS LIST'!B181 = 0, "-", 'LOSS LIST'!B181)</f>
        <v>-</v>
      </c>
      <c r="C186" s="125" t="str">
        <f>IF('LOSS LIST'!J181 = 0, "-", 'LOSS LIST'!J181)</f>
        <v>-</v>
      </c>
      <c r="E186" s="32"/>
      <c r="F186" s="32"/>
      <c r="G186" s="32"/>
      <c r="H186" s="113"/>
      <c r="I186" s="151"/>
      <c r="K186" s="98"/>
      <c r="M186" s="129"/>
      <c r="O186" s="100"/>
    </row>
    <row r="187" spans="1:15" x14ac:dyDescent="0.25">
      <c r="A187" s="10">
        <v>178</v>
      </c>
      <c r="B187" s="9" t="str">
        <f>IF('LOSS LIST'!B182 = 0, "-", 'LOSS LIST'!B182)</f>
        <v>-</v>
      </c>
      <c r="C187" s="125" t="str">
        <f>IF('LOSS LIST'!J182 = 0, "-", 'LOSS LIST'!J182)</f>
        <v>-</v>
      </c>
      <c r="E187" s="32"/>
      <c r="F187" s="32"/>
      <c r="G187" s="32"/>
      <c r="H187" s="113"/>
      <c r="I187" s="151"/>
      <c r="K187" s="98"/>
      <c r="M187" s="129"/>
      <c r="O187" s="100"/>
    </row>
    <row r="188" spans="1:15" x14ac:dyDescent="0.25">
      <c r="A188" s="10">
        <v>179</v>
      </c>
      <c r="B188" s="9" t="str">
        <f>IF('LOSS LIST'!B183 = 0, "-", 'LOSS LIST'!B183)</f>
        <v>-</v>
      </c>
      <c r="C188" s="125" t="str">
        <f>IF('LOSS LIST'!J183 = 0, "-", 'LOSS LIST'!J183)</f>
        <v>-</v>
      </c>
      <c r="E188" s="32"/>
      <c r="F188" s="32"/>
      <c r="G188" s="32"/>
      <c r="H188" s="113"/>
      <c r="I188" s="151"/>
      <c r="K188" s="98"/>
      <c r="M188" s="129"/>
      <c r="O188" s="100"/>
    </row>
    <row r="189" spans="1:15" x14ac:dyDescent="0.25">
      <c r="A189" s="10">
        <v>180</v>
      </c>
      <c r="B189" s="9" t="str">
        <f>IF('LOSS LIST'!B184 = 0, "-", 'LOSS LIST'!B184)</f>
        <v>-</v>
      </c>
      <c r="C189" s="125" t="str">
        <f>IF('LOSS LIST'!J184 = 0, "-", 'LOSS LIST'!J184)</f>
        <v>-</v>
      </c>
      <c r="E189" s="32"/>
      <c r="F189" s="32"/>
      <c r="G189" s="32"/>
      <c r="H189" s="113"/>
      <c r="I189" s="151"/>
      <c r="K189" s="98"/>
      <c r="M189" s="129"/>
      <c r="O189" s="100"/>
    </row>
    <row r="190" spans="1:15" x14ac:dyDescent="0.25">
      <c r="A190" s="10">
        <v>181</v>
      </c>
      <c r="B190" s="9" t="str">
        <f>IF('LOSS LIST'!B185 = 0, "-", 'LOSS LIST'!B185)</f>
        <v>-</v>
      </c>
      <c r="C190" s="125" t="str">
        <f>IF('LOSS LIST'!J185 = 0, "-", 'LOSS LIST'!J185)</f>
        <v>-</v>
      </c>
      <c r="E190" s="32"/>
      <c r="F190" s="32"/>
      <c r="G190" s="32"/>
      <c r="H190" s="113"/>
      <c r="I190" s="151"/>
      <c r="K190" s="98"/>
      <c r="M190" s="129"/>
      <c r="O190" s="100"/>
    </row>
    <row r="191" spans="1:15" x14ac:dyDescent="0.25">
      <c r="A191" s="10">
        <v>182</v>
      </c>
      <c r="B191" s="9" t="str">
        <f>IF('LOSS LIST'!B186 = 0, "-", 'LOSS LIST'!B186)</f>
        <v>-</v>
      </c>
      <c r="C191" s="125" t="str">
        <f>IF('LOSS LIST'!J186 = 0, "-", 'LOSS LIST'!J186)</f>
        <v>-</v>
      </c>
      <c r="E191" s="32"/>
      <c r="F191" s="32"/>
      <c r="G191" s="32"/>
      <c r="H191" s="113"/>
      <c r="I191" s="151"/>
      <c r="K191" s="98"/>
      <c r="M191" s="129"/>
      <c r="O191" s="100"/>
    </row>
    <row r="192" spans="1:15" x14ac:dyDescent="0.25">
      <c r="A192" s="10">
        <v>183</v>
      </c>
      <c r="B192" s="9" t="str">
        <f>IF('LOSS LIST'!B187 = 0, "-", 'LOSS LIST'!B187)</f>
        <v>-</v>
      </c>
      <c r="C192" s="125" t="str">
        <f>IF('LOSS LIST'!J187 = 0, "-", 'LOSS LIST'!J187)</f>
        <v>-</v>
      </c>
      <c r="E192" s="32"/>
      <c r="F192" s="32"/>
      <c r="G192" s="32"/>
      <c r="H192" s="113"/>
      <c r="I192" s="151"/>
      <c r="K192" s="98"/>
      <c r="M192" s="129"/>
      <c r="O192" s="100"/>
    </row>
    <row r="193" spans="1:15" x14ac:dyDescent="0.25">
      <c r="A193" s="10">
        <v>184</v>
      </c>
      <c r="B193" s="9" t="str">
        <f>IF('LOSS LIST'!B188 = 0, "-", 'LOSS LIST'!B188)</f>
        <v>-</v>
      </c>
      <c r="C193" s="125" t="str">
        <f>IF('LOSS LIST'!J188 = 0, "-", 'LOSS LIST'!J188)</f>
        <v>-</v>
      </c>
      <c r="E193" s="32"/>
      <c r="F193" s="32"/>
      <c r="G193" s="32"/>
      <c r="H193" s="113"/>
      <c r="I193" s="151"/>
      <c r="K193" s="98"/>
      <c r="M193" s="129"/>
      <c r="O193" s="100"/>
    </row>
    <row r="194" spans="1:15" x14ac:dyDescent="0.25">
      <c r="A194" s="10">
        <v>185</v>
      </c>
      <c r="B194" s="9" t="str">
        <f>IF('LOSS LIST'!B189 = 0, "-", 'LOSS LIST'!B189)</f>
        <v>-</v>
      </c>
      <c r="C194" s="125" t="str">
        <f>IF('LOSS LIST'!J189 = 0, "-", 'LOSS LIST'!J189)</f>
        <v>-</v>
      </c>
      <c r="E194" s="32"/>
      <c r="F194" s="32"/>
      <c r="G194" s="32"/>
      <c r="H194" s="113"/>
      <c r="I194" s="151"/>
      <c r="K194" s="98"/>
      <c r="M194" s="129"/>
      <c r="O194" s="100"/>
    </row>
    <row r="195" spans="1:15" x14ac:dyDescent="0.25">
      <c r="A195" s="10">
        <v>186</v>
      </c>
      <c r="B195" s="9" t="str">
        <f>IF('LOSS LIST'!B190 = 0, "-", 'LOSS LIST'!B190)</f>
        <v>-</v>
      </c>
      <c r="C195" s="125" t="str">
        <f>IF('LOSS LIST'!J190 = 0, "-", 'LOSS LIST'!J190)</f>
        <v>-</v>
      </c>
      <c r="E195" s="32"/>
      <c r="F195" s="32"/>
      <c r="G195" s="32"/>
      <c r="H195" s="113"/>
      <c r="I195" s="151"/>
      <c r="K195" s="98"/>
      <c r="M195" s="129"/>
      <c r="O195" s="100"/>
    </row>
    <row r="196" spans="1:15" x14ac:dyDescent="0.25">
      <c r="A196" s="10">
        <v>187</v>
      </c>
      <c r="B196" s="9" t="str">
        <f>IF('LOSS LIST'!B191 = 0, "-", 'LOSS LIST'!B191)</f>
        <v>-</v>
      </c>
      <c r="C196" s="125" t="str">
        <f>IF('LOSS LIST'!J191 = 0, "-", 'LOSS LIST'!J191)</f>
        <v>-</v>
      </c>
      <c r="E196" s="32"/>
      <c r="F196" s="32"/>
      <c r="G196" s="32"/>
      <c r="H196" s="113"/>
      <c r="I196" s="151"/>
      <c r="K196" s="98"/>
      <c r="M196" s="129"/>
      <c r="O196" s="100"/>
    </row>
    <row r="197" spans="1:15" x14ac:dyDescent="0.25">
      <c r="A197" s="10">
        <v>188</v>
      </c>
      <c r="B197" s="9" t="str">
        <f>IF('LOSS LIST'!B192 = 0, "-", 'LOSS LIST'!B192)</f>
        <v>-</v>
      </c>
      <c r="C197" s="125" t="str">
        <f>IF('LOSS LIST'!J192 = 0, "-", 'LOSS LIST'!J192)</f>
        <v>-</v>
      </c>
      <c r="E197" s="32"/>
      <c r="F197" s="32"/>
      <c r="G197" s="32"/>
      <c r="H197" s="113"/>
      <c r="I197" s="151"/>
      <c r="K197" s="98"/>
      <c r="M197" s="129"/>
      <c r="O197" s="100"/>
    </row>
    <row r="198" spans="1:15" x14ac:dyDescent="0.25">
      <c r="A198" s="10">
        <v>189</v>
      </c>
      <c r="B198" s="9" t="str">
        <f>IF('LOSS LIST'!B193 = 0, "-", 'LOSS LIST'!B193)</f>
        <v>-</v>
      </c>
      <c r="C198" s="125" t="str">
        <f>IF('LOSS LIST'!J193 = 0, "-", 'LOSS LIST'!J193)</f>
        <v>-</v>
      </c>
      <c r="E198" s="32"/>
      <c r="F198" s="32"/>
      <c r="G198" s="32"/>
      <c r="H198" s="113"/>
      <c r="I198" s="151"/>
      <c r="K198" s="98"/>
      <c r="M198" s="129"/>
      <c r="O198" s="100"/>
    </row>
    <row r="199" spans="1:15" x14ac:dyDescent="0.25">
      <c r="A199" s="10">
        <v>190</v>
      </c>
      <c r="B199" s="9" t="str">
        <f>IF('LOSS LIST'!B194 = 0, "-", 'LOSS LIST'!B194)</f>
        <v>-</v>
      </c>
      <c r="C199" s="125" t="str">
        <f>IF('LOSS LIST'!J194 = 0, "-", 'LOSS LIST'!J194)</f>
        <v>-</v>
      </c>
      <c r="E199" s="32"/>
      <c r="F199" s="32"/>
      <c r="G199" s="32"/>
      <c r="H199" s="113"/>
      <c r="I199" s="151"/>
      <c r="K199" s="98"/>
      <c r="M199" s="129"/>
      <c r="O199" s="100"/>
    </row>
    <row r="200" spans="1:15" x14ac:dyDescent="0.25">
      <c r="A200" s="10">
        <v>191</v>
      </c>
      <c r="B200" s="9" t="str">
        <f>IF('LOSS LIST'!B195 = 0, "-", 'LOSS LIST'!B195)</f>
        <v>-</v>
      </c>
      <c r="C200" s="125" t="str">
        <f>IF('LOSS LIST'!J195 = 0, "-", 'LOSS LIST'!J195)</f>
        <v>-</v>
      </c>
      <c r="E200" s="32"/>
      <c r="F200" s="32"/>
      <c r="G200" s="32"/>
      <c r="H200" s="113"/>
      <c r="I200" s="151"/>
      <c r="K200" s="98"/>
      <c r="M200" s="129"/>
      <c r="O200" s="100"/>
    </row>
    <row r="201" spans="1:15" x14ac:dyDescent="0.25">
      <c r="A201" s="10">
        <v>192</v>
      </c>
      <c r="B201" s="9" t="str">
        <f>IF('LOSS LIST'!B196 = 0, "-", 'LOSS LIST'!B196)</f>
        <v>-</v>
      </c>
      <c r="C201" s="125" t="str">
        <f>IF('LOSS LIST'!J196 = 0, "-", 'LOSS LIST'!J196)</f>
        <v>-</v>
      </c>
      <c r="E201" s="32"/>
      <c r="F201" s="32"/>
      <c r="G201" s="32"/>
      <c r="H201" s="113"/>
      <c r="I201" s="151"/>
      <c r="K201" s="98"/>
      <c r="M201" s="129"/>
      <c r="O201" s="100"/>
    </row>
    <row r="202" spans="1:15" x14ac:dyDescent="0.25">
      <c r="A202" s="10">
        <v>193</v>
      </c>
      <c r="B202" s="9" t="str">
        <f>IF('LOSS LIST'!B197 = 0, "-", 'LOSS LIST'!B197)</f>
        <v>-</v>
      </c>
      <c r="C202" s="125" t="str">
        <f>IF('LOSS LIST'!J197 = 0, "-", 'LOSS LIST'!J197)</f>
        <v>-</v>
      </c>
      <c r="E202" s="32"/>
      <c r="F202" s="32"/>
      <c r="G202" s="32"/>
      <c r="H202" s="113"/>
      <c r="I202" s="151"/>
      <c r="K202" s="98"/>
      <c r="M202" s="129"/>
      <c r="O202" s="100"/>
    </row>
    <row r="203" spans="1:15" x14ac:dyDescent="0.25">
      <c r="A203" s="10">
        <v>194</v>
      </c>
      <c r="B203" s="9" t="str">
        <f>IF('LOSS LIST'!B198 = 0, "-", 'LOSS LIST'!B198)</f>
        <v>-</v>
      </c>
      <c r="C203" s="125" t="str">
        <f>IF('LOSS LIST'!J198 = 0, "-", 'LOSS LIST'!J198)</f>
        <v>-</v>
      </c>
      <c r="E203" s="32"/>
      <c r="F203" s="32"/>
      <c r="G203" s="32"/>
      <c r="H203" s="113"/>
      <c r="I203" s="151"/>
      <c r="K203" s="98"/>
      <c r="M203" s="129"/>
      <c r="O203" s="100"/>
    </row>
    <row r="204" spans="1:15" x14ac:dyDescent="0.25">
      <c r="A204" s="10">
        <v>195</v>
      </c>
      <c r="B204" s="9" t="str">
        <f>IF('LOSS LIST'!B199 = 0, "-", 'LOSS LIST'!B199)</f>
        <v>-</v>
      </c>
      <c r="C204" s="125" t="str">
        <f>IF('LOSS LIST'!J199 = 0, "-", 'LOSS LIST'!J199)</f>
        <v>-</v>
      </c>
      <c r="E204" s="32"/>
      <c r="F204" s="32"/>
      <c r="G204" s="32"/>
      <c r="H204" s="113"/>
      <c r="I204" s="151"/>
      <c r="K204" s="98"/>
      <c r="M204" s="129"/>
      <c r="O204" s="100"/>
    </row>
    <row r="205" spans="1:15" x14ac:dyDescent="0.25">
      <c r="A205" s="10">
        <v>196</v>
      </c>
      <c r="B205" s="9" t="str">
        <f>IF('LOSS LIST'!B200 = 0, "-", 'LOSS LIST'!B200)</f>
        <v>-</v>
      </c>
      <c r="C205" s="125" t="str">
        <f>IF('LOSS LIST'!J200 = 0, "-", 'LOSS LIST'!J200)</f>
        <v>-</v>
      </c>
      <c r="E205" s="32"/>
      <c r="F205" s="32"/>
      <c r="G205" s="32"/>
      <c r="H205" s="113"/>
      <c r="I205" s="151"/>
      <c r="K205" s="98"/>
      <c r="M205" s="129"/>
      <c r="O205" s="100"/>
    </row>
    <row r="206" spans="1:15" x14ac:dyDescent="0.25">
      <c r="A206" s="10">
        <v>197</v>
      </c>
      <c r="B206" s="9" t="str">
        <f>IF('LOSS LIST'!B201 = 0, "-", 'LOSS LIST'!B201)</f>
        <v>-</v>
      </c>
      <c r="C206" s="125" t="str">
        <f>IF('LOSS LIST'!J201 = 0, "-", 'LOSS LIST'!J201)</f>
        <v>-</v>
      </c>
      <c r="E206" s="32"/>
      <c r="F206" s="32"/>
      <c r="G206" s="32"/>
      <c r="H206" s="113"/>
      <c r="I206" s="151"/>
      <c r="K206" s="98"/>
      <c r="M206" s="129"/>
      <c r="O206" s="100"/>
    </row>
    <row r="207" spans="1:15" x14ac:dyDescent="0.25">
      <c r="A207" s="10">
        <v>198</v>
      </c>
      <c r="B207" s="9" t="str">
        <f>IF('LOSS LIST'!B202 = 0, "-", 'LOSS LIST'!B202)</f>
        <v>-</v>
      </c>
      <c r="C207" s="125" t="str">
        <f>IF('LOSS LIST'!J202 = 0, "-", 'LOSS LIST'!J202)</f>
        <v>-</v>
      </c>
      <c r="E207" s="32"/>
      <c r="F207" s="32"/>
      <c r="G207" s="32"/>
      <c r="H207" s="113"/>
      <c r="I207" s="151"/>
      <c r="K207" s="98"/>
      <c r="M207" s="129"/>
      <c r="O207" s="100"/>
    </row>
    <row r="208" spans="1:15" x14ac:dyDescent="0.25">
      <c r="A208" s="10">
        <v>199</v>
      </c>
      <c r="B208" s="9" t="str">
        <f>IF('LOSS LIST'!B203 = 0, "-", 'LOSS LIST'!B203)</f>
        <v>-</v>
      </c>
      <c r="C208" s="125" t="str">
        <f>IF('LOSS LIST'!J203 = 0, "-", 'LOSS LIST'!J203)</f>
        <v>-</v>
      </c>
      <c r="E208" s="32"/>
      <c r="F208" s="32"/>
      <c r="G208" s="32"/>
      <c r="H208" s="113"/>
      <c r="I208" s="151"/>
      <c r="K208" s="98"/>
      <c r="M208" s="129"/>
      <c r="O208" s="100"/>
    </row>
    <row r="209" spans="1:15" x14ac:dyDescent="0.25">
      <c r="A209" s="10">
        <v>200</v>
      </c>
      <c r="B209" s="9" t="str">
        <f>IF('LOSS LIST'!B204 = 0, "-", 'LOSS LIST'!B204)</f>
        <v>-</v>
      </c>
      <c r="C209" s="125" t="str">
        <f>IF('LOSS LIST'!J204 = 0, "-", 'LOSS LIST'!J204)</f>
        <v>-</v>
      </c>
      <c r="E209" s="32"/>
      <c r="F209" s="32"/>
      <c r="G209" s="32"/>
      <c r="H209" s="113"/>
      <c r="I209" s="151"/>
      <c r="K209" s="98"/>
      <c r="M209" s="129"/>
      <c r="O209" s="100"/>
    </row>
    <row r="210" spans="1:15" x14ac:dyDescent="0.25">
      <c r="A210" s="10">
        <v>201</v>
      </c>
      <c r="B210" s="9" t="str">
        <f>IF('LOSS LIST'!B205 = 0, "-", 'LOSS LIST'!B205)</f>
        <v>-</v>
      </c>
      <c r="C210" s="125" t="str">
        <f>IF('LOSS LIST'!J205 = 0, "-", 'LOSS LIST'!J205)</f>
        <v>-</v>
      </c>
      <c r="E210" s="32"/>
      <c r="F210" s="32"/>
      <c r="G210" s="32"/>
      <c r="H210" s="113"/>
      <c r="I210" s="151"/>
      <c r="K210" s="98"/>
      <c r="M210" s="129"/>
      <c r="O210" s="100"/>
    </row>
    <row r="211" spans="1:15" x14ac:dyDescent="0.25">
      <c r="A211" s="10">
        <v>202</v>
      </c>
      <c r="B211" s="9" t="str">
        <f>IF('LOSS LIST'!B206 = 0, "-", 'LOSS LIST'!B206)</f>
        <v>-</v>
      </c>
      <c r="C211" s="125" t="str">
        <f>IF('LOSS LIST'!J206 = 0, "-", 'LOSS LIST'!J206)</f>
        <v>-</v>
      </c>
      <c r="E211" s="32"/>
      <c r="F211" s="32"/>
      <c r="G211" s="32"/>
      <c r="H211" s="113"/>
      <c r="I211" s="151"/>
      <c r="K211" s="98"/>
      <c r="M211" s="129"/>
      <c r="O211" s="100"/>
    </row>
    <row r="212" spans="1:15" x14ac:dyDescent="0.25">
      <c r="A212" s="10">
        <v>203</v>
      </c>
      <c r="B212" s="9" t="str">
        <f>IF('LOSS LIST'!B207 = 0, "-", 'LOSS LIST'!B207)</f>
        <v>-</v>
      </c>
      <c r="C212" s="125" t="str">
        <f>IF('LOSS LIST'!J207 = 0, "-", 'LOSS LIST'!J207)</f>
        <v>-</v>
      </c>
      <c r="E212" s="32"/>
      <c r="F212" s="32"/>
      <c r="G212" s="32"/>
      <c r="H212" s="113"/>
      <c r="I212" s="151"/>
      <c r="K212" s="98"/>
      <c r="M212" s="129"/>
      <c r="O212" s="100"/>
    </row>
    <row r="213" spans="1:15" x14ac:dyDescent="0.25">
      <c r="A213" s="10">
        <v>204</v>
      </c>
      <c r="B213" s="9" t="str">
        <f>IF('LOSS LIST'!B208 = 0, "-", 'LOSS LIST'!B208)</f>
        <v>-</v>
      </c>
      <c r="C213" s="125" t="str">
        <f>IF('LOSS LIST'!J208 = 0, "-", 'LOSS LIST'!J208)</f>
        <v>-</v>
      </c>
      <c r="E213" s="32"/>
      <c r="F213" s="32"/>
      <c r="G213" s="32"/>
      <c r="H213" s="113"/>
      <c r="I213" s="151"/>
      <c r="K213" s="98"/>
      <c r="M213" s="129"/>
      <c r="O213" s="100"/>
    </row>
    <row r="214" spans="1:15" x14ac:dyDescent="0.25">
      <c r="A214" s="10">
        <v>205</v>
      </c>
      <c r="B214" s="9" t="str">
        <f>IF('LOSS LIST'!B209 = 0, "-", 'LOSS LIST'!B209)</f>
        <v>-</v>
      </c>
      <c r="C214" s="125" t="str">
        <f>IF('LOSS LIST'!J209 = 0, "-", 'LOSS LIST'!J209)</f>
        <v>-</v>
      </c>
      <c r="E214" s="32"/>
      <c r="F214" s="32"/>
      <c r="G214" s="32"/>
      <c r="H214" s="113"/>
      <c r="I214" s="151"/>
      <c r="K214" s="98"/>
      <c r="M214" s="129"/>
      <c r="O214" s="100"/>
    </row>
    <row r="215" spans="1:15" x14ac:dyDescent="0.25">
      <c r="A215" s="10">
        <v>206</v>
      </c>
      <c r="B215" s="9" t="str">
        <f>IF('LOSS LIST'!B210 = 0, "-", 'LOSS LIST'!B210)</f>
        <v>-</v>
      </c>
      <c r="C215" s="125" t="str">
        <f>IF('LOSS LIST'!J210 = 0, "-", 'LOSS LIST'!J210)</f>
        <v>-</v>
      </c>
      <c r="E215" s="32"/>
      <c r="F215" s="32"/>
      <c r="G215" s="32"/>
      <c r="H215" s="113"/>
      <c r="I215" s="151"/>
      <c r="K215" s="98"/>
      <c r="M215" s="129"/>
      <c r="O215" s="100"/>
    </row>
    <row r="216" spans="1:15" x14ac:dyDescent="0.25">
      <c r="A216" s="10">
        <v>207</v>
      </c>
      <c r="B216" s="9" t="str">
        <f>IF('LOSS LIST'!B211 = 0, "-", 'LOSS LIST'!B211)</f>
        <v>-</v>
      </c>
      <c r="C216" s="125" t="str">
        <f>IF('LOSS LIST'!J211 = 0, "-", 'LOSS LIST'!J211)</f>
        <v>-</v>
      </c>
      <c r="E216" s="32"/>
      <c r="F216" s="32"/>
      <c r="G216" s="32"/>
      <c r="H216" s="113"/>
      <c r="I216" s="151"/>
      <c r="K216" s="98"/>
      <c r="M216" s="129"/>
      <c r="O216" s="100"/>
    </row>
    <row r="217" spans="1:15" x14ac:dyDescent="0.25">
      <c r="A217" s="10">
        <v>208</v>
      </c>
      <c r="B217" s="9" t="str">
        <f>IF('LOSS LIST'!B212 = 0, "-", 'LOSS LIST'!B212)</f>
        <v>-</v>
      </c>
      <c r="C217" s="125" t="str">
        <f>IF('LOSS LIST'!J212 = 0, "-", 'LOSS LIST'!J212)</f>
        <v>-</v>
      </c>
      <c r="E217" s="32"/>
      <c r="F217" s="32"/>
      <c r="G217" s="32"/>
      <c r="H217" s="113"/>
      <c r="I217" s="151"/>
      <c r="K217" s="98"/>
      <c r="M217" s="129"/>
      <c r="O217" s="100"/>
    </row>
    <row r="218" spans="1:15" x14ac:dyDescent="0.25">
      <c r="A218" s="10">
        <v>209</v>
      </c>
      <c r="B218" s="9" t="str">
        <f>IF('LOSS LIST'!B213 = 0, "-", 'LOSS LIST'!B213)</f>
        <v>-</v>
      </c>
      <c r="C218" s="125" t="str">
        <f>IF('LOSS LIST'!J213 = 0, "-", 'LOSS LIST'!J213)</f>
        <v>-</v>
      </c>
      <c r="E218" s="32"/>
      <c r="F218" s="32"/>
      <c r="G218" s="32"/>
      <c r="H218" s="113"/>
      <c r="I218" s="151"/>
      <c r="K218" s="98"/>
      <c r="M218" s="129"/>
      <c r="O218" s="100"/>
    </row>
    <row r="219" spans="1:15" x14ac:dyDescent="0.25">
      <c r="A219" s="10">
        <v>210</v>
      </c>
      <c r="B219" s="9" t="str">
        <f>IF('LOSS LIST'!B214 = 0, "-", 'LOSS LIST'!B214)</f>
        <v>-</v>
      </c>
      <c r="C219" s="125" t="str">
        <f>IF('LOSS LIST'!J214 = 0, "-", 'LOSS LIST'!J214)</f>
        <v>-</v>
      </c>
      <c r="E219" s="32"/>
      <c r="F219" s="32"/>
      <c r="G219" s="32"/>
      <c r="H219" s="113"/>
      <c r="I219" s="151"/>
      <c r="K219" s="98"/>
      <c r="M219" s="129"/>
      <c r="O219" s="100"/>
    </row>
    <row r="220" spans="1:15" x14ac:dyDescent="0.25">
      <c r="A220" s="10">
        <v>211</v>
      </c>
      <c r="B220" s="9" t="str">
        <f>IF('LOSS LIST'!B215 = 0, "-", 'LOSS LIST'!B215)</f>
        <v>-</v>
      </c>
      <c r="C220" s="125" t="str">
        <f>IF('LOSS LIST'!J215 = 0, "-", 'LOSS LIST'!J215)</f>
        <v>-</v>
      </c>
      <c r="E220" s="32"/>
      <c r="F220" s="32"/>
      <c r="G220" s="32"/>
      <c r="H220" s="113"/>
      <c r="I220" s="151"/>
      <c r="K220" s="98"/>
      <c r="M220" s="129"/>
      <c r="O220" s="100"/>
    </row>
    <row r="221" spans="1:15" x14ac:dyDescent="0.25">
      <c r="A221" s="10">
        <v>212</v>
      </c>
      <c r="B221" s="9" t="str">
        <f>IF('LOSS LIST'!B216 = 0, "-", 'LOSS LIST'!B216)</f>
        <v>-</v>
      </c>
      <c r="C221" s="125" t="str">
        <f>IF('LOSS LIST'!J216 = 0, "-", 'LOSS LIST'!J216)</f>
        <v>-</v>
      </c>
      <c r="E221" s="32"/>
      <c r="F221" s="32"/>
      <c r="G221" s="32"/>
      <c r="H221" s="113"/>
      <c r="I221" s="151"/>
      <c r="K221" s="98"/>
      <c r="M221" s="129"/>
      <c r="O221" s="100"/>
    </row>
    <row r="222" spans="1:15" x14ac:dyDescent="0.25">
      <c r="A222" s="10">
        <v>213</v>
      </c>
      <c r="B222" s="9" t="str">
        <f>IF('LOSS LIST'!B217 = 0, "-", 'LOSS LIST'!B217)</f>
        <v>-</v>
      </c>
      <c r="C222" s="125" t="str">
        <f>IF('LOSS LIST'!J217 = 0, "-", 'LOSS LIST'!J217)</f>
        <v>-</v>
      </c>
      <c r="E222" s="32"/>
      <c r="F222" s="32"/>
      <c r="G222" s="32"/>
      <c r="H222" s="113"/>
      <c r="I222" s="151"/>
      <c r="K222" s="98"/>
      <c r="M222" s="129"/>
      <c r="O222" s="100"/>
    </row>
    <row r="223" spans="1:15" x14ac:dyDescent="0.25">
      <c r="A223" s="10">
        <v>214</v>
      </c>
      <c r="B223" s="9" t="str">
        <f>IF('LOSS LIST'!B218 = 0, "-", 'LOSS LIST'!B218)</f>
        <v>-</v>
      </c>
      <c r="C223" s="125" t="str">
        <f>IF('LOSS LIST'!J218 = 0, "-", 'LOSS LIST'!J218)</f>
        <v>-</v>
      </c>
      <c r="E223" s="32"/>
      <c r="F223" s="32"/>
      <c r="G223" s="32"/>
      <c r="H223" s="113"/>
      <c r="I223" s="151"/>
      <c r="K223" s="98"/>
      <c r="M223" s="129"/>
      <c r="O223" s="100"/>
    </row>
    <row r="224" spans="1:15" x14ac:dyDescent="0.25">
      <c r="A224" s="10">
        <v>215</v>
      </c>
      <c r="B224" s="9" t="str">
        <f>IF('LOSS LIST'!B219 = 0, "-", 'LOSS LIST'!B219)</f>
        <v>-</v>
      </c>
      <c r="C224" s="125" t="str">
        <f>IF('LOSS LIST'!J219 = 0, "-", 'LOSS LIST'!J219)</f>
        <v>-</v>
      </c>
      <c r="E224" s="32"/>
      <c r="F224" s="32"/>
      <c r="G224" s="32"/>
      <c r="H224" s="113"/>
      <c r="I224" s="151"/>
      <c r="K224" s="98"/>
      <c r="M224" s="129"/>
      <c r="O224" s="100"/>
    </row>
    <row r="225" spans="1:23" x14ac:dyDescent="0.25">
      <c r="A225" s="10">
        <v>216</v>
      </c>
      <c r="B225" s="9" t="str">
        <f>IF('LOSS LIST'!B220 = 0, "-", 'LOSS LIST'!B220)</f>
        <v>-</v>
      </c>
      <c r="C225" s="125" t="str">
        <f>IF('LOSS LIST'!J220 = 0, "-", 'LOSS LIST'!J220)</f>
        <v>-</v>
      </c>
      <c r="E225" s="32"/>
      <c r="F225" s="32"/>
      <c r="G225" s="32"/>
      <c r="H225" s="113"/>
      <c r="I225" s="151"/>
      <c r="K225" s="98"/>
      <c r="M225" s="129"/>
      <c r="O225" s="100"/>
    </row>
    <row r="226" spans="1:23" x14ac:dyDescent="0.25">
      <c r="A226" s="10">
        <v>217</v>
      </c>
      <c r="B226" s="9" t="str">
        <f>IF('LOSS LIST'!B221 = 0, "-", 'LOSS LIST'!B221)</f>
        <v>-</v>
      </c>
      <c r="C226" s="125" t="str">
        <f>IF('LOSS LIST'!J221 = 0, "-", 'LOSS LIST'!J221)</f>
        <v>-</v>
      </c>
      <c r="E226" s="32"/>
      <c r="F226" s="32"/>
      <c r="G226" s="32"/>
      <c r="H226" s="113"/>
      <c r="I226" s="151"/>
      <c r="K226" s="98"/>
      <c r="M226" s="129"/>
      <c r="O226" s="100"/>
    </row>
    <row r="227" spans="1:23" x14ac:dyDescent="0.25">
      <c r="A227" s="10">
        <v>218</v>
      </c>
      <c r="B227" s="9" t="str">
        <f>IF('LOSS LIST'!B222 = 0, "-", 'LOSS LIST'!B222)</f>
        <v>-</v>
      </c>
      <c r="C227" s="125" t="str">
        <f>IF('LOSS LIST'!J222 = 0, "-", 'LOSS LIST'!J222)</f>
        <v>-</v>
      </c>
      <c r="E227" s="32"/>
      <c r="F227" s="32"/>
      <c r="G227" s="32"/>
      <c r="H227" s="113"/>
      <c r="I227" s="151"/>
      <c r="K227" s="98"/>
      <c r="M227" s="129"/>
      <c r="O227" s="100"/>
    </row>
    <row r="228" spans="1:23" x14ac:dyDescent="0.25">
      <c r="A228" s="10">
        <v>219</v>
      </c>
      <c r="B228" s="9" t="str">
        <f>IF('LOSS LIST'!B223 = 0, "-", 'LOSS LIST'!B223)</f>
        <v>-</v>
      </c>
      <c r="C228" s="125" t="str">
        <f>IF('LOSS LIST'!J223 = 0, "-", 'LOSS LIST'!J223)</f>
        <v>-</v>
      </c>
      <c r="E228" s="32"/>
      <c r="F228" s="32"/>
      <c r="G228" s="32"/>
      <c r="H228" s="113"/>
      <c r="I228" s="151"/>
      <c r="K228" s="98"/>
      <c r="M228" s="129"/>
      <c r="O228" s="100"/>
    </row>
    <row r="229" spans="1:23" x14ac:dyDescent="0.25">
      <c r="A229" s="10">
        <v>220</v>
      </c>
      <c r="B229" s="9" t="str">
        <f>IF('LOSS LIST'!B224 = 0, "-", 'LOSS LIST'!B224)</f>
        <v>-</v>
      </c>
      <c r="C229" s="125" t="str">
        <f>IF('LOSS LIST'!J224 = 0, "-", 'LOSS LIST'!J224)</f>
        <v>-</v>
      </c>
      <c r="E229" s="32"/>
      <c r="F229" s="32"/>
      <c r="G229" s="32"/>
      <c r="H229" s="113"/>
      <c r="I229" s="151"/>
      <c r="K229" s="98"/>
      <c r="M229" s="129"/>
      <c r="O229" s="100"/>
    </row>
    <row r="230" spans="1:23" x14ac:dyDescent="0.25">
      <c r="A230" s="10">
        <v>221</v>
      </c>
      <c r="B230" s="9" t="str">
        <f>IF('LOSS LIST'!B225 = 0, "-", 'LOSS LIST'!B225)</f>
        <v>-</v>
      </c>
      <c r="C230" s="125" t="str">
        <f>IF('LOSS LIST'!J225 = 0, "-", 'LOSS LIST'!J225)</f>
        <v>-</v>
      </c>
      <c r="E230" s="32"/>
      <c r="F230" s="32"/>
      <c r="G230" s="32"/>
      <c r="H230" s="113"/>
      <c r="I230" s="151"/>
      <c r="K230" s="98"/>
      <c r="M230" s="129"/>
      <c r="O230" s="100"/>
    </row>
    <row r="231" spans="1:23" x14ac:dyDescent="0.25">
      <c r="A231" s="10">
        <v>222</v>
      </c>
      <c r="B231" s="9" t="str">
        <f>IF('LOSS LIST'!B226 = 0, "-", 'LOSS LIST'!B226)</f>
        <v>-</v>
      </c>
      <c r="C231" s="125" t="str">
        <f>IF('LOSS LIST'!J226 = 0, "-", 'LOSS LIST'!J226)</f>
        <v>-</v>
      </c>
      <c r="E231" s="32"/>
      <c r="F231" s="32"/>
      <c r="G231" s="32"/>
      <c r="H231" s="113"/>
      <c r="I231" s="151"/>
      <c r="K231" s="98"/>
      <c r="M231" s="129"/>
      <c r="O231" s="100"/>
    </row>
    <row r="232" spans="1:23" x14ac:dyDescent="0.25">
      <c r="A232" s="10">
        <v>223</v>
      </c>
      <c r="B232" s="9" t="str">
        <f>IF('LOSS LIST'!B227 = 0, "-", 'LOSS LIST'!B227)</f>
        <v>-</v>
      </c>
      <c r="C232" s="125" t="str">
        <f>IF('LOSS LIST'!J227 = 0, "-", 'LOSS LIST'!J227)</f>
        <v>-</v>
      </c>
      <c r="E232" s="32"/>
      <c r="F232" s="32"/>
      <c r="G232" s="32"/>
      <c r="H232" s="113"/>
      <c r="I232" s="151"/>
      <c r="K232" s="98"/>
      <c r="M232" s="129"/>
      <c r="O232" s="100"/>
    </row>
    <row r="233" spans="1:23" x14ac:dyDescent="0.25">
      <c r="A233" s="10">
        <v>224</v>
      </c>
      <c r="B233" s="9" t="str">
        <f>IF('LOSS LIST'!B228 = 0, "-", 'LOSS LIST'!B228)</f>
        <v>-</v>
      </c>
      <c r="C233" s="125" t="str">
        <f>IF('LOSS LIST'!J228 = 0, "-", 'LOSS LIST'!J228)</f>
        <v>-</v>
      </c>
      <c r="E233" s="32"/>
      <c r="F233" s="32"/>
      <c r="G233" s="32"/>
      <c r="H233" s="113"/>
      <c r="I233" s="151"/>
      <c r="K233" s="98"/>
      <c r="M233" s="129"/>
      <c r="O233" s="100"/>
    </row>
    <row r="234" spans="1:23" x14ac:dyDescent="0.25">
      <c r="A234" s="10">
        <v>225</v>
      </c>
      <c r="B234" s="9" t="str">
        <f>IF('LOSS LIST'!B229 = 0, "-", 'LOSS LIST'!B229)</f>
        <v>-</v>
      </c>
      <c r="C234" s="125" t="str">
        <f>IF('LOSS LIST'!J229 = 0, "-", 'LOSS LIST'!J229)</f>
        <v>-</v>
      </c>
      <c r="E234" s="32"/>
      <c r="F234" s="32"/>
      <c r="G234" s="32"/>
      <c r="H234" s="113"/>
      <c r="I234" s="151"/>
      <c r="K234" s="98"/>
      <c r="M234" s="129"/>
      <c r="O234" s="100"/>
    </row>
    <row r="235" spans="1:23" x14ac:dyDescent="0.25">
      <c r="A235" s="10">
        <v>226</v>
      </c>
      <c r="B235" s="9" t="str">
        <f>IF('LOSS LIST'!B230 = 0, "-", 'LOSS LIST'!B230)</f>
        <v>-</v>
      </c>
      <c r="C235" s="125" t="str">
        <f>IF('LOSS LIST'!J230 = 0, "-", 'LOSS LIST'!J230)</f>
        <v>-</v>
      </c>
      <c r="E235" s="32"/>
      <c r="F235" s="32"/>
      <c r="G235" s="32"/>
      <c r="H235" s="113"/>
      <c r="I235" s="151"/>
      <c r="K235" s="98"/>
      <c r="M235" s="129"/>
      <c r="O235" s="100"/>
    </row>
    <row r="236" spans="1:23" x14ac:dyDescent="0.25">
      <c r="A236" s="10">
        <v>227</v>
      </c>
      <c r="B236" s="9" t="str">
        <f>IF('LOSS LIST'!B231 = 0, "-", 'LOSS LIST'!B231)</f>
        <v>-</v>
      </c>
      <c r="C236" s="125" t="str">
        <f>IF('LOSS LIST'!J231 = 0, "-", 'LOSS LIST'!J231)</f>
        <v>-</v>
      </c>
      <c r="E236" s="32"/>
      <c r="F236" s="32"/>
      <c r="G236" s="32"/>
      <c r="H236" s="113"/>
      <c r="I236" s="151"/>
      <c r="K236" s="98"/>
      <c r="M236" s="129"/>
      <c r="O236" s="100"/>
    </row>
    <row r="237" spans="1:23" x14ac:dyDescent="0.25">
      <c r="A237" s="10">
        <v>228</v>
      </c>
      <c r="B237" s="9" t="str">
        <f>IF('LOSS LIST'!B232 = 0, "-", 'LOSS LIST'!B232)</f>
        <v>-</v>
      </c>
      <c r="C237" s="125" t="str">
        <f>IF('LOSS LIST'!J232 = 0, "-", 'LOSS LIST'!J232)</f>
        <v>-</v>
      </c>
      <c r="E237" s="32"/>
      <c r="F237" s="32"/>
      <c r="G237" s="32"/>
      <c r="H237" s="113"/>
      <c r="I237" s="151"/>
      <c r="K237" s="98"/>
      <c r="M237" s="129"/>
      <c r="O237" s="100"/>
    </row>
    <row r="238" spans="1:23" x14ac:dyDescent="0.25">
      <c r="A238" s="10">
        <v>229</v>
      </c>
      <c r="B238" s="9" t="str">
        <f>IF('LOSS LIST'!B233 = 0, "-", 'LOSS LIST'!B233)</f>
        <v>-</v>
      </c>
      <c r="C238" s="125" t="str">
        <f>IF('LOSS LIST'!J233 = 0, "-", 'LOSS LIST'!J233)</f>
        <v>-</v>
      </c>
      <c r="E238" s="32"/>
      <c r="F238" s="32"/>
      <c r="G238" s="32"/>
      <c r="H238" s="113"/>
      <c r="I238" s="151"/>
      <c r="K238" s="98"/>
      <c r="M238" s="129"/>
      <c r="O238" s="100"/>
    </row>
    <row r="239" spans="1:23" x14ac:dyDescent="0.25">
      <c r="A239" s="10">
        <v>230</v>
      </c>
      <c r="B239" s="9" t="str">
        <f>IF('LOSS LIST'!B234 = 0, "-", 'LOSS LIST'!B234)</f>
        <v>-</v>
      </c>
      <c r="C239" s="125" t="str">
        <f>IF('LOSS LIST'!J234 = 0, "-", 'LOSS LIST'!J234)</f>
        <v>-</v>
      </c>
      <c r="E239" s="32"/>
      <c r="F239" s="32"/>
      <c r="G239" s="32"/>
      <c r="H239" s="113"/>
      <c r="I239" s="151"/>
      <c r="K239" s="98"/>
      <c r="M239" s="129"/>
      <c r="O239" s="100"/>
    </row>
    <row r="240" spans="1:23" s="39" customFormat="1" ht="14.5" thickBot="1" x14ac:dyDescent="0.3">
      <c r="A240" s="11"/>
      <c r="B240" s="11"/>
      <c r="C240" s="126">
        <f>SUM(C10:C239)</f>
        <v>0</v>
      </c>
      <c r="D240" s="30"/>
      <c r="E240" s="38">
        <f>SUM(E11:E239)</f>
        <v>0</v>
      </c>
      <c r="F240" s="38"/>
      <c r="G240" s="38">
        <f>SUM(G11:G239)</f>
        <v>0</v>
      </c>
      <c r="H240" s="149"/>
      <c r="I240" s="152"/>
      <c r="J240" s="30"/>
      <c r="K240" s="96">
        <f>SUM(K11:K239)</f>
        <v>0</v>
      </c>
      <c r="L240" s="30"/>
      <c r="M240" s="126">
        <f>SUM(M11:M239)</f>
        <v>0</v>
      </c>
      <c r="N240" s="146"/>
      <c r="O240" s="101"/>
      <c r="P240" s="1"/>
      <c r="Q240" s="1"/>
      <c r="R240" s="1"/>
      <c r="S240" s="1"/>
      <c r="T240" s="1"/>
      <c r="U240" s="1"/>
      <c r="V240" s="1"/>
      <c r="W240" s="1"/>
    </row>
    <row r="241" spans="2:15" ht="14.5" thickTop="1" x14ac:dyDescent="0.25">
      <c r="B241" s="35"/>
      <c r="C241" s="36"/>
      <c r="I241" s="153"/>
      <c r="K241" s="99"/>
      <c r="M241" s="37"/>
      <c r="O241" s="102"/>
    </row>
    <row r="242" spans="2:15" x14ac:dyDescent="0.25">
      <c r="B242" s="35"/>
      <c r="C242" s="36"/>
      <c r="I242" s="153"/>
      <c r="K242" s="99"/>
      <c r="M242" s="37"/>
      <c r="O242" s="102"/>
    </row>
    <row r="243" spans="2:15" x14ac:dyDescent="0.25">
      <c r="B243" s="35"/>
      <c r="C243" s="36"/>
      <c r="I243" s="153"/>
      <c r="K243" s="99"/>
      <c r="M243" s="37"/>
      <c r="O243" s="102"/>
    </row>
    <row r="244" spans="2:15" x14ac:dyDescent="0.25">
      <c r="B244" s="35"/>
      <c r="C244" s="36"/>
      <c r="I244" s="153"/>
      <c r="K244" s="99"/>
      <c r="M244" s="37"/>
      <c r="O244" s="102"/>
    </row>
    <row r="245" spans="2:15" x14ac:dyDescent="0.25">
      <c r="B245" s="35"/>
      <c r="C245" s="36"/>
      <c r="I245" s="153"/>
      <c r="K245" s="99"/>
      <c r="M245" s="37"/>
      <c r="O245" s="102"/>
    </row>
    <row r="246" spans="2:15" x14ac:dyDescent="0.25">
      <c r="B246" s="35"/>
      <c r="C246" s="36"/>
      <c r="I246" s="153"/>
      <c r="K246" s="99"/>
      <c r="M246" s="37"/>
      <c r="O246" s="102"/>
    </row>
    <row r="247" spans="2:15" x14ac:dyDescent="0.25">
      <c r="B247" s="35"/>
      <c r="C247" s="36"/>
      <c r="I247" s="153"/>
      <c r="K247" s="99"/>
      <c r="M247" s="37"/>
      <c r="O247" s="102"/>
    </row>
    <row r="248" spans="2:15" x14ac:dyDescent="0.25">
      <c r="B248" s="35"/>
      <c r="C248" s="36"/>
      <c r="I248" s="153"/>
      <c r="K248" s="99"/>
      <c r="M248" s="37"/>
      <c r="O248" s="102"/>
    </row>
    <row r="249" spans="2:15" x14ac:dyDescent="0.25">
      <c r="B249" s="35"/>
      <c r="C249" s="36"/>
      <c r="I249" s="153"/>
      <c r="K249" s="99"/>
      <c r="M249" s="37"/>
      <c r="O249" s="102"/>
    </row>
    <row r="250" spans="2:15" x14ac:dyDescent="0.25">
      <c r="B250" s="35"/>
      <c r="C250" s="36"/>
      <c r="I250" s="153"/>
      <c r="K250" s="99"/>
      <c r="M250" s="37"/>
      <c r="O250" s="102"/>
    </row>
    <row r="251" spans="2:15" x14ac:dyDescent="0.25">
      <c r="B251" s="35"/>
      <c r="C251" s="36"/>
      <c r="I251" s="153"/>
      <c r="K251" s="99"/>
      <c r="M251" s="37"/>
      <c r="O251" s="102"/>
    </row>
    <row r="252" spans="2:15" x14ac:dyDescent="0.25">
      <c r="B252" s="35"/>
      <c r="C252" s="36"/>
      <c r="I252" s="153"/>
      <c r="K252" s="99"/>
      <c r="M252" s="37"/>
      <c r="O252" s="102"/>
    </row>
    <row r="253" spans="2:15" x14ac:dyDescent="0.25">
      <c r="B253" s="35"/>
      <c r="C253" s="36"/>
      <c r="I253" s="153"/>
      <c r="K253" s="99"/>
      <c r="M253" s="37"/>
      <c r="O253" s="102"/>
    </row>
    <row r="254" spans="2:15" x14ac:dyDescent="0.25">
      <c r="B254" s="35"/>
      <c r="C254" s="36"/>
      <c r="I254" s="153"/>
      <c r="K254" s="99"/>
      <c r="M254" s="37"/>
      <c r="O254" s="102"/>
    </row>
    <row r="255" spans="2:15" x14ac:dyDescent="0.25">
      <c r="B255" s="35"/>
      <c r="C255" s="36"/>
      <c r="I255" s="153"/>
      <c r="K255" s="99"/>
      <c r="M255" s="37"/>
      <c r="O255" s="102"/>
    </row>
    <row r="256" spans="2:15" x14ac:dyDescent="0.25">
      <c r="B256" s="35"/>
      <c r="C256" s="36"/>
      <c r="I256" s="153"/>
      <c r="K256" s="99"/>
      <c r="M256" s="37"/>
      <c r="O256" s="102"/>
    </row>
    <row r="257" spans="2:15" x14ac:dyDescent="0.25">
      <c r="B257" s="35"/>
      <c r="C257" s="36"/>
      <c r="I257" s="153"/>
      <c r="K257" s="99"/>
      <c r="M257" s="37"/>
      <c r="O257" s="102"/>
    </row>
    <row r="258" spans="2:15" x14ac:dyDescent="0.25">
      <c r="B258" s="35"/>
      <c r="C258" s="36"/>
      <c r="I258" s="153"/>
      <c r="K258" s="99"/>
      <c r="M258" s="37"/>
      <c r="O258" s="102"/>
    </row>
    <row r="259" spans="2:15" x14ac:dyDescent="0.25">
      <c r="B259" s="35"/>
      <c r="C259" s="36"/>
      <c r="I259" s="153"/>
      <c r="K259" s="99"/>
      <c r="M259" s="37"/>
      <c r="O259" s="102"/>
    </row>
    <row r="260" spans="2:15" x14ac:dyDescent="0.25">
      <c r="B260" s="35"/>
      <c r="C260" s="36"/>
      <c r="I260" s="153"/>
      <c r="K260" s="99"/>
      <c r="M260" s="37"/>
      <c r="O260" s="102"/>
    </row>
    <row r="261" spans="2:15" x14ac:dyDescent="0.25">
      <c r="B261" s="35"/>
      <c r="C261" s="36"/>
      <c r="I261" s="153"/>
      <c r="K261" s="99"/>
      <c r="M261" s="37"/>
      <c r="O261" s="102"/>
    </row>
    <row r="262" spans="2:15" x14ac:dyDescent="0.25">
      <c r="B262" s="35"/>
      <c r="C262" s="36"/>
      <c r="I262" s="153"/>
      <c r="K262" s="99"/>
      <c r="M262" s="37"/>
      <c r="O262" s="102"/>
    </row>
    <row r="263" spans="2:15" x14ac:dyDescent="0.25">
      <c r="B263" s="35"/>
      <c r="C263" s="36"/>
      <c r="I263" s="153"/>
      <c r="K263" s="99"/>
      <c r="M263" s="37"/>
      <c r="O263" s="102"/>
    </row>
    <row r="264" spans="2:15" x14ac:dyDescent="0.25">
      <c r="B264" s="35"/>
      <c r="C264" s="36"/>
      <c r="I264" s="153"/>
      <c r="K264" s="99"/>
      <c r="M264" s="37"/>
      <c r="O264" s="102"/>
    </row>
    <row r="265" spans="2:15" x14ac:dyDescent="0.25">
      <c r="B265" s="35"/>
      <c r="C265" s="36"/>
      <c r="I265" s="153"/>
      <c r="K265" s="99"/>
      <c r="M265" s="37"/>
      <c r="O265" s="102"/>
    </row>
    <row r="266" spans="2:15" x14ac:dyDescent="0.25">
      <c r="B266" s="35"/>
      <c r="C266" s="36"/>
      <c r="I266" s="153"/>
      <c r="K266" s="99"/>
      <c r="M266" s="37"/>
      <c r="O266" s="102"/>
    </row>
    <row r="267" spans="2:15" x14ac:dyDescent="0.25">
      <c r="B267" s="35"/>
      <c r="C267" s="36"/>
      <c r="I267" s="153"/>
      <c r="K267" s="99"/>
      <c r="M267" s="37"/>
      <c r="O267" s="102"/>
    </row>
    <row r="268" spans="2:15" x14ac:dyDescent="0.25">
      <c r="B268" s="35"/>
      <c r="C268" s="36"/>
      <c r="I268" s="153"/>
      <c r="K268" s="99"/>
      <c r="M268" s="37"/>
      <c r="O268" s="102"/>
    </row>
    <row r="269" spans="2:15" x14ac:dyDescent="0.25">
      <c r="B269" s="35"/>
      <c r="C269" s="36"/>
      <c r="I269" s="153"/>
      <c r="K269" s="99"/>
      <c r="M269" s="37"/>
      <c r="O269" s="102"/>
    </row>
    <row r="270" spans="2:15" x14ac:dyDescent="0.25">
      <c r="B270" s="35"/>
      <c r="C270" s="36"/>
      <c r="I270" s="153"/>
      <c r="K270" s="99"/>
      <c r="M270" s="37"/>
      <c r="O270" s="102"/>
    </row>
    <row r="271" spans="2:15" x14ac:dyDescent="0.25">
      <c r="B271" s="35"/>
      <c r="C271" s="36"/>
      <c r="I271" s="153"/>
      <c r="K271" s="99"/>
      <c r="M271" s="37"/>
      <c r="O271" s="102"/>
    </row>
    <row r="272" spans="2:15" x14ac:dyDescent="0.25">
      <c r="B272" s="35"/>
      <c r="C272" s="36"/>
      <c r="I272" s="153"/>
      <c r="K272" s="99"/>
      <c r="M272" s="37"/>
      <c r="O272" s="102"/>
    </row>
    <row r="273" spans="2:15" x14ac:dyDescent="0.25">
      <c r="B273" s="35"/>
      <c r="C273" s="36"/>
      <c r="I273" s="153"/>
      <c r="K273" s="99"/>
      <c r="M273" s="37"/>
      <c r="O273" s="102"/>
    </row>
    <row r="274" spans="2:15" x14ac:dyDescent="0.25">
      <c r="B274" s="35"/>
      <c r="C274" s="36"/>
      <c r="I274" s="153"/>
      <c r="K274" s="99"/>
      <c r="M274" s="37"/>
      <c r="O274" s="102"/>
    </row>
    <row r="275" spans="2:15" x14ac:dyDescent="0.25">
      <c r="B275" s="35"/>
      <c r="C275" s="36"/>
      <c r="I275" s="153"/>
      <c r="K275" s="99"/>
      <c r="M275" s="37"/>
      <c r="O275" s="102"/>
    </row>
    <row r="276" spans="2:15" x14ac:dyDescent="0.25">
      <c r="B276" s="35"/>
      <c r="C276" s="36"/>
      <c r="I276" s="153"/>
      <c r="K276" s="99"/>
      <c r="M276" s="37"/>
      <c r="O276" s="102"/>
    </row>
    <row r="277" spans="2:15" x14ac:dyDescent="0.25">
      <c r="I277" s="153"/>
      <c r="K277" s="99"/>
      <c r="M277" s="37"/>
      <c r="O277" s="102"/>
    </row>
    <row r="278" spans="2:15" x14ac:dyDescent="0.25">
      <c r="I278" s="153"/>
      <c r="K278" s="99"/>
      <c r="M278" s="147"/>
      <c r="O278" s="102"/>
    </row>
    <row r="279" spans="2:15" x14ac:dyDescent="0.25">
      <c r="I279" s="153"/>
      <c r="K279" s="99"/>
      <c r="M279" s="147"/>
      <c r="O279" s="102"/>
    </row>
    <row r="280" spans="2:15" x14ac:dyDescent="0.25">
      <c r="I280" s="153"/>
      <c r="K280" s="99"/>
      <c r="M280" s="147"/>
      <c r="O280" s="102"/>
    </row>
    <row r="281" spans="2:15" x14ac:dyDescent="0.25">
      <c r="I281" s="153"/>
      <c r="K281" s="99"/>
      <c r="M281" s="147"/>
      <c r="O281" s="102"/>
    </row>
    <row r="282" spans="2:15" x14ac:dyDescent="0.25">
      <c r="I282" s="153"/>
      <c r="K282" s="99"/>
      <c r="M282" s="147"/>
      <c r="O282" s="102"/>
    </row>
    <row r="283" spans="2:15" x14ac:dyDescent="0.25">
      <c r="I283" s="153"/>
      <c r="K283" s="99"/>
      <c r="M283" s="147"/>
      <c r="O283" s="102"/>
    </row>
    <row r="284" spans="2:15" x14ac:dyDescent="0.25">
      <c r="I284" s="153"/>
      <c r="K284" s="99"/>
      <c r="M284" s="147"/>
      <c r="O284" s="102"/>
    </row>
    <row r="285" spans="2:15" x14ac:dyDescent="0.25">
      <c r="I285" s="153"/>
      <c r="K285" s="99"/>
      <c r="M285" s="147"/>
      <c r="O285" s="102"/>
    </row>
    <row r="286" spans="2:15" x14ac:dyDescent="0.25">
      <c r="I286" s="153"/>
      <c r="K286" s="99"/>
      <c r="M286" s="147"/>
      <c r="O286" s="102"/>
    </row>
    <row r="287" spans="2:15" x14ac:dyDescent="0.25">
      <c r="I287" s="153"/>
      <c r="K287" s="99"/>
      <c r="M287" s="147"/>
      <c r="O287" s="102"/>
    </row>
    <row r="288" spans="2:15" x14ac:dyDescent="0.25">
      <c r="I288" s="153"/>
      <c r="K288" s="99"/>
      <c r="M288" s="147"/>
      <c r="O288" s="102"/>
    </row>
    <row r="289" spans="9:15" x14ac:dyDescent="0.25">
      <c r="I289" s="153"/>
      <c r="K289" s="99"/>
      <c r="M289" s="147"/>
      <c r="O289" s="102"/>
    </row>
    <row r="290" spans="9:15" x14ac:dyDescent="0.25">
      <c r="I290" s="153"/>
      <c r="K290" s="99"/>
      <c r="M290" s="147"/>
      <c r="O290" s="102"/>
    </row>
    <row r="291" spans="9:15" x14ac:dyDescent="0.25">
      <c r="I291" s="153"/>
      <c r="K291" s="99"/>
      <c r="M291" s="147"/>
      <c r="O291" s="102"/>
    </row>
    <row r="292" spans="9:15" x14ac:dyDescent="0.25">
      <c r="I292" s="153"/>
      <c r="K292" s="99"/>
      <c r="M292" s="147"/>
      <c r="O292" s="102"/>
    </row>
    <row r="293" spans="9:15" x14ac:dyDescent="0.25">
      <c r="I293" s="153"/>
      <c r="K293" s="99"/>
      <c r="M293" s="147"/>
      <c r="O293" s="102"/>
    </row>
    <row r="294" spans="9:15" x14ac:dyDescent="0.25">
      <c r="I294" s="153"/>
      <c r="K294" s="99"/>
      <c r="M294" s="147"/>
      <c r="O294" s="102"/>
    </row>
    <row r="295" spans="9:15" x14ac:dyDescent="0.25">
      <c r="I295" s="153"/>
      <c r="K295" s="99"/>
      <c r="M295" s="147"/>
      <c r="O295" s="102"/>
    </row>
    <row r="296" spans="9:15" x14ac:dyDescent="0.25">
      <c r="I296" s="153"/>
      <c r="K296" s="99"/>
      <c r="M296" s="147"/>
      <c r="O296" s="102"/>
    </row>
    <row r="297" spans="9:15" x14ac:dyDescent="0.25">
      <c r="I297" s="153"/>
      <c r="K297" s="99"/>
      <c r="M297" s="147"/>
      <c r="O297" s="102"/>
    </row>
    <row r="298" spans="9:15" x14ac:dyDescent="0.25">
      <c r="I298" s="153"/>
      <c r="K298" s="99"/>
      <c r="M298" s="147"/>
      <c r="O298" s="102"/>
    </row>
    <row r="299" spans="9:15" x14ac:dyDescent="0.25">
      <c r="I299" s="153"/>
      <c r="K299" s="99"/>
      <c r="M299" s="147"/>
      <c r="O299" s="102"/>
    </row>
    <row r="300" spans="9:15" x14ac:dyDescent="0.25">
      <c r="I300" s="153"/>
      <c r="K300" s="99"/>
      <c r="M300" s="147"/>
      <c r="O300" s="102"/>
    </row>
    <row r="301" spans="9:15" x14ac:dyDescent="0.25">
      <c r="I301" s="153"/>
      <c r="K301" s="99"/>
      <c r="M301" s="147"/>
      <c r="O301" s="102"/>
    </row>
    <row r="302" spans="9:15" x14ac:dyDescent="0.25">
      <c r="I302" s="153"/>
      <c r="K302" s="99"/>
      <c r="M302" s="147"/>
      <c r="O302" s="102"/>
    </row>
    <row r="303" spans="9:15" x14ac:dyDescent="0.25">
      <c r="I303" s="153"/>
      <c r="K303" s="99"/>
      <c r="M303" s="147"/>
      <c r="O303" s="102"/>
    </row>
    <row r="304" spans="9:15" x14ac:dyDescent="0.25">
      <c r="I304" s="153"/>
      <c r="K304" s="99"/>
      <c r="M304" s="147"/>
      <c r="O304" s="102"/>
    </row>
    <row r="305" spans="9:15" x14ac:dyDescent="0.25">
      <c r="I305" s="153"/>
      <c r="K305" s="99"/>
      <c r="M305" s="147"/>
      <c r="O305" s="102"/>
    </row>
    <row r="306" spans="9:15" x14ac:dyDescent="0.25">
      <c r="I306" s="153"/>
      <c r="K306" s="99"/>
      <c r="M306" s="147"/>
      <c r="O306" s="102"/>
    </row>
    <row r="307" spans="9:15" x14ac:dyDescent="0.25">
      <c r="I307" s="153"/>
      <c r="K307" s="99"/>
      <c r="M307" s="147"/>
      <c r="O307" s="102"/>
    </row>
    <row r="308" spans="9:15" x14ac:dyDescent="0.25">
      <c r="I308" s="153"/>
      <c r="K308" s="99"/>
      <c r="M308" s="147"/>
      <c r="O308" s="102"/>
    </row>
    <row r="309" spans="9:15" x14ac:dyDescent="0.25">
      <c r="I309" s="153"/>
      <c r="K309" s="99"/>
      <c r="M309" s="147"/>
      <c r="O309" s="102"/>
    </row>
    <row r="310" spans="9:15" x14ac:dyDescent="0.25">
      <c r="I310" s="153"/>
      <c r="K310" s="99"/>
      <c r="M310" s="147"/>
      <c r="O310" s="102"/>
    </row>
    <row r="311" spans="9:15" x14ac:dyDescent="0.25">
      <c r="I311" s="153"/>
      <c r="K311" s="99"/>
      <c r="M311" s="147"/>
      <c r="O311" s="102"/>
    </row>
    <row r="312" spans="9:15" x14ac:dyDescent="0.25">
      <c r="I312" s="153"/>
      <c r="K312" s="99"/>
      <c r="M312" s="147"/>
      <c r="O312" s="102"/>
    </row>
    <row r="313" spans="9:15" x14ac:dyDescent="0.25">
      <c r="I313" s="153"/>
      <c r="K313" s="99"/>
      <c r="M313" s="147"/>
      <c r="O313" s="102"/>
    </row>
    <row r="314" spans="9:15" x14ac:dyDescent="0.25">
      <c r="I314" s="153"/>
      <c r="K314" s="99"/>
      <c r="M314" s="147"/>
      <c r="O314" s="102"/>
    </row>
    <row r="315" spans="9:15" x14ac:dyDescent="0.25">
      <c r="I315" s="153"/>
      <c r="K315" s="99"/>
      <c r="M315" s="147"/>
      <c r="O315" s="102"/>
    </row>
    <row r="316" spans="9:15" x14ac:dyDescent="0.25">
      <c r="I316" s="153"/>
      <c r="K316" s="99"/>
      <c r="M316" s="147"/>
      <c r="O316" s="102"/>
    </row>
    <row r="317" spans="9:15" x14ac:dyDescent="0.25">
      <c r="I317" s="153"/>
      <c r="K317" s="99"/>
      <c r="M317" s="147"/>
      <c r="O317" s="102"/>
    </row>
    <row r="318" spans="9:15" x14ac:dyDescent="0.25">
      <c r="I318" s="153"/>
      <c r="K318" s="99"/>
      <c r="M318" s="147"/>
      <c r="O318" s="102"/>
    </row>
    <row r="319" spans="9:15" x14ac:dyDescent="0.25">
      <c r="I319" s="153"/>
      <c r="K319" s="99"/>
      <c r="M319" s="147"/>
      <c r="O319" s="102"/>
    </row>
    <row r="320" spans="9:15" x14ac:dyDescent="0.25">
      <c r="I320" s="153"/>
      <c r="K320" s="99"/>
      <c r="M320" s="147"/>
      <c r="O320" s="102"/>
    </row>
    <row r="321" spans="9:15" x14ac:dyDescent="0.25">
      <c r="I321" s="153"/>
      <c r="K321" s="99"/>
      <c r="M321" s="147"/>
      <c r="O321" s="102"/>
    </row>
    <row r="322" spans="9:15" x14ac:dyDescent="0.25">
      <c r="I322" s="153"/>
      <c r="K322" s="99"/>
      <c r="M322" s="147"/>
      <c r="O322" s="102"/>
    </row>
    <row r="323" spans="9:15" x14ac:dyDescent="0.25">
      <c r="I323" s="153"/>
      <c r="K323" s="99"/>
      <c r="M323" s="147"/>
    </row>
    <row r="324" spans="9:15" x14ac:dyDescent="0.25">
      <c r="I324" s="153"/>
      <c r="K324" s="99"/>
      <c r="M324" s="147"/>
    </row>
    <row r="325" spans="9:15" x14ac:dyDescent="0.25">
      <c r="K325" s="99"/>
      <c r="M325" s="147"/>
    </row>
    <row r="326" spans="9:15" x14ac:dyDescent="0.25">
      <c r="K326" s="99"/>
      <c r="M326" s="147"/>
    </row>
    <row r="327" spans="9:15" x14ac:dyDescent="0.25">
      <c r="K327" s="99"/>
      <c r="M327" s="147"/>
    </row>
    <row r="328" spans="9:15" x14ac:dyDescent="0.25">
      <c r="K328" s="99"/>
      <c r="M328" s="147"/>
    </row>
    <row r="329" spans="9:15" x14ac:dyDescent="0.25">
      <c r="K329" s="99"/>
      <c r="M329" s="147"/>
    </row>
    <row r="330" spans="9:15" x14ac:dyDescent="0.25">
      <c r="K330" s="99"/>
      <c r="M330" s="147"/>
    </row>
    <row r="331" spans="9:15" x14ac:dyDescent="0.25">
      <c r="K331" s="99"/>
      <c r="M331" s="147"/>
    </row>
    <row r="332" spans="9:15" x14ac:dyDescent="0.25">
      <c r="K332" s="99"/>
      <c r="M332" s="147"/>
    </row>
    <row r="333" spans="9:15" x14ac:dyDescent="0.25">
      <c r="K333" s="99"/>
      <c r="M333" s="147"/>
    </row>
    <row r="334" spans="9:15" x14ac:dyDescent="0.25">
      <c r="K334" s="99"/>
      <c r="M334" s="147"/>
    </row>
    <row r="335" spans="9:15" x14ac:dyDescent="0.25">
      <c r="K335" s="99"/>
      <c r="M335" s="147"/>
    </row>
    <row r="336" spans="9:15" x14ac:dyDescent="0.25">
      <c r="K336" s="99"/>
      <c r="M336" s="147"/>
    </row>
    <row r="337" spans="11:13" x14ac:dyDescent="0.25">
      <c r="K337" s="99"/>
      <c r="M337" s="147"/>
    </row>
    <row r="338" spans="11:13" x14ac:dyDescent="0.25">
      <c r="K338" s="99"/>
      <c r="M338" s="147"/>
    </row>
    <row r="339" spans="11:13" x14ac:dyDescent="0.25">
      <c r="K339" s="99"/>
      <c r="M339" s="147"/>
    </row>
    <row r="340" spans="11:13" x14ac:dyDescent="0.25">
      <c r="K340" s="99"/>
      <c r="M340" s="147"/>
    </row>
    <row r="341" spans="11:13" x14ac:dyDescent="0.25">
      <c r="K341" s="99"/>
      <c r="M341" s="147"/>
    </row>
    <row r="342" spans="11:13" x14ac:dyDescent="0.25">
      <c r="K342" s="99"/>
      <c r="M342" s="147"/>
    </row>
    <row r="343" spans="11:13" x14ac:dyDescent="0.25">
      <c r="K343" s="99"/>
      <c r="M343" s="147"/>
    </row>
    <row r="344" spans="11:13" x14ac:dyDescent="0.25">
      <c r="K344" s="99"/>
      <c r="M344" s="147"/>
    </row>
    <row r="345" spans="11:13" x14ac:dyDescent="0.25">
      <c r="K345" s="99"/>
      <c r="M345" s="147"/>
    </row>
    <row r="346" spans="11:13" x14ac:dyDescent="0.25">
      <c r="K346" s="99"/>
      <c r="M346" s="147"/>
    </row>
    <row r="347" spans="11:13" x14ac:dyDescent="0.25">
      <c r="K347" s="99"/>
      <c r="M347" s="147"/>
    </row>
    <row r="348" spans="11:13" x14ac:dyDescent="0.25">
      <c r="K348" s="99"/>
      <c r="M348" s="147"/>
    </row>
    <row r="349" spans="11:13" x14ac:dyDescent="0.25">
      <c r="K349" s="99"/>
      <c r="M349" s="147"/>
    </row>
    <row r="350" spans="11:13" x14ac:dyDescent="0.25">
      <c r="K350" s="99"/>
      <c r="M350" s="147"/>
    </row>
    <row r="351" spans="11:13" x14ac:dyDescent="0.25">
      <c r="K351" s="99"/>
      <c r="M351" s="147"/>
    </row>
    <row r="352" spans="11:13" x14ac:dyDescent="0.25">
      <c r="K352" s="99"/>
      <c r="M352" s="147"/>
    </row>
    <row r="353" spans="11:13" x14ac:dyDescent="0.25">
      <c r="K353" s="99"/>
      <c r="M353" s="147"/>
    </row>
    <row r="354" spans="11:13" x14ac:dyDescent="0.25">
      <c r="K354" s="99"/>
      <c r="M354" s="147"/>
    </row>
    <row r="355" spans="11:13" x14ac:dyDescent="0.25">
      <c r="K355" s="99"/>
      <c r="M355" s="147"/>
    </row>
    <row r="356" spans="11:13" x14ac:dyDescent="0.25">
      <c r="K356" s="99"/>
      <c r="M356" s="147"/>
    </row>
    <row r="357" spans="11:13" x14ac:dyDescent="0.25">
      <c r="K357" s="99"/>
      <c r="M357" s="147"/>
    </row>
    <row r="358" spans="11:13" x14ac:dyDescent="0.25">
      <c r="K358" s="99"/>
      <c r="M358" s="147"/>
    </row>
    <row r="359" spans="11:13" x14ac:dyDescent="0.25">
      <c r="K359" s="99"/>
      <c r="M359" s="147"/>
    </row>
    <row r="360" spans="11:13" x14ac:dyDescent="0.25">
      <c r="K360" s="99"/>
      <c r="M360" s="147"/>
    </row>
    <row r="361" spans="11:13" x14ac:dyDescent="0.25">
      <c r="K361" s="99"/>
      <c r="M361" s="147"/>
    </row>
    <row r="362" spans="11:13" x14ac:dyDescent="0.25">
      <c r="K362" s="99"/>
      <c r="M362" s="147"/>
    </row>
    <row r="363" spans="11:13" x14ac:dyDescent="0.25">
      <c r="K363" s="99"/>
      <c r="M363" s="147"/>
    </row>
    <row r="364" spans="11:13" x14ac:dyDescent="0.25">
      <c r="K364" s="99"/>
      <c r="M364" s="147"/>
    </row>
    <row r="365" spans="11:13" x14ac:dyDescent="0.25">
      <c r="K365" s="99"/>
      <c r="M365" s="147"/>
    </row>
    <row r="366" spans="11:13" x14ac:dyDescent="0.25">
      <c r="K366" s="99"/>
      <c r="M366" s="147"/>
    </row>
    <row r="367" spans="11:13" x14ac:dyDescent="0.25">
      <c r="K367" s="99"/>
      <c r="M367" s="147"/>
    </row>
    <row r="368" spans="11:13" x14ac:dyDescent="0.25">
      <c r="K368" s="99"/>
      <c r="M368" s="147"/>
    </row>
    <row r="369" spans="11:13" x14ac:dyDescent="0.25">
      <c r="K369" s="99"/>
      <c r="M369" s="147"/>
    </row>
    <row r="370" spans="11:13" x14ac:dyDescent="0.25">
      <c r="K370" s="99"/>
      <c r="M370" s="147"/>
    </row>
    <row r="371" spans="11:13" x14ac:dyDescent="0.25">
      <c r="K371" s="99"/>
      <c r="M371" s="147"/>
    </row>
    <row r="372" spans="11:13" x14ac:dyDescent="0.25">
      <c r="K372" s="99"/>
      <c r="M372" s="147"/>
    </row>
    <row r="373" spans="11:13" x14ac:dyDescent="0.25">
      <c r="K373" s="99"/>
      <c r="M373" s="147"/>
    </row>
    <row r="374" spans="11:13" x14ac:dyDescent="0.25">
      <c r="K374" s="99"/>
      <c r="M374" s="147"/>
    </row>
    <row r="375" spans="11:13" x14ac:dyDescent="0.25">
      <c r="K375" s="99"/>
      <c r="M375" s="147"/>
    </row>
    <row r="376" spans="11:13" x14ac:dyDescent="0.25">
      <c r="K376" s="99"/>
      <c r="M376" s="147"/>
    </row>
    <row r="377" spans="11:13" x14ac:dyDescent="0.25">
      <c r="K377" s="99"/>
      <c r="M377" s="147"/>
    </row>
    <row r="378" spans="11:13" x14ac:dyDescent="0.25">
      <c r="K378" s="99"/>
      <c r="M378" s="147"/>
    </row>
    <row r="379" spans="11:13" x14ac:dyDescent="0.25">
      <c r="K379" s="99"/>
      <c r="M379" s="147"/>
    </row>
    <row r="380" spans="11:13" x14ac:dyDescent="0.25">
      <c r="K380" s="99"/>
      <c r="M380" s="147"/>
    </row>
    <row r="381" spans="11:13" x14ac:dyDescent="0.25">
      <c r="K381" s="99"/>
      <c r="M381" s="147"/>
    </row>
    <row r="382" spans="11:13" x14ac:dyDescent="0.25">
      <c r="K382" s="99"/>
      <c r="M382" s="147"/>
    </row>
    <row r="383" spans="11:13" x14ac:dyDescent="0.25">
      <c r="K383" s="99"/>
      <c r="M383" s="147"/>
    </row>
    <row r="384" spans="11:13" x14ac:dyDescent="0.25">
      <c r="K384" s="99"/>
      <c r="M384" s="147"/>
    </row>
    <row r="385" spans="11:13" x14ac:dyDescent="0.25">
      <c r="K385" s="99"/>
      <c r="M385" s="147"/>
    </row>
    <row r="386" spans="11:13" x14ac:dyDescent="0.25">
      <c r="K386" s="99"/>
      <c r="M386" s="147"/>
    </row>
    <row r="387" spans="11:13" x14ac:dyDescent="0.25">
      <c r="K387" s="99"/>
      <c r="M387" s="147"/>
    </row>
    <row r="388" spans="11:13" x14ac:dyDescent="0.25">
      <c r="K388" s="99"/>
      <c r="M388" s="147"/>
    </row>
    <row r="389" spans="11:13" x14ac:dyDescent="0.25">
      <c r="K389" s="99"/>
      <c r="M389" s="147"/>
    </row>
    <row r="390" spans="11:13" x14ac:dyDescent="0.25">
      <c r="K390" s="99"/>
      <c r="M390" s="147"/>
    </row>
    <row r="391" spans="11:13" x14ac:dyDescent="0.25">
      <c r="K391" s="99"/>
      <c r="M391" s="147"/>
    </row>
    <row r="392" spans="11:13" x14ac:dyDescent="0.25">
      <c r="K392" s="99"/>
      <c r="M392" s="147"/>
    </row>
    <row r="393" spans="11:13" x14ac:dyDescent="0.25">
      <c r="K393" s="99"/>
      <c r="M393" s="147"/>
    </row>
    <row r="394" spans="11:13" x14ac:dyDescent="0.25">
      <c r="K394" s="99"/>
      <c r="M394" s="147"/>
    </row>
    <row r="395" spans="11:13" x14ac:dyDescent="0.25">
      <c r="K395" s="99"/>
      <c r="M395" s="147"/>
    </row>
    <row r="396" spans="11:13" x14ac:dyDescent="0.25">
      <c r="K396" s="99"/>
      <c r="M396" s="147"/>
    </row>
    <row r="397" spans="11:13" x14ac:dyDescent="0.25">
      <c r="K397" s="99"/>
      <c r="M397" s="147"/>
    </row>
    <row r="398" spans="11:13" x14ac:dyDescent="0.25">
      <c r="K398" s="99"/>
      <c r="M398" s="147"/>
    </row>
    <row r="399" spans="11:13" x14ac:dyDescent="0.25">
      <c r="K399" s="99"/>
      <c r="M399" s="147"/>
    </row>
    <row r="400" spans="11:13" x14ac:dyDescent="0.25">
      <c r="K400" s="99"/>
      <c r="M400" s="147"/>
    </row>
    <row r="401" spans="11:13" x14ac:dyDescent="0.25">
      <c r="K401" s="99"/>
      <c r="M401" s="147"/>
    </row>
    <row r="402" spans="11:13" x14ac:dyDescent="0.25">
      <c r="K402" s="99"/>
      <c r="M402" s="147"/>
    </row>
    <row r="403" spans="11:13" x14ac:dyDescent="0.25">
      <c r="K403" s="99"/>
      <c r="M403" s="147"/>
    </row>
    <row r="404" spans="11:13" x14ac:dyDescent="0.25">
      <c r="K404" s="99"/>
      <c r="M404" s="147"/>
    </row>
    <row r="405" spans="11:13" x14ac:dyDescent="0.25">
      <c r="K405" s="99"/>
      <c r="M405" s="147"/>
    </row>
    <row r="406" spans="11:13" x14ac:dyDescent="0.25">
      <c r="K406" s="99"/>
      <c r="M406" s="147"/>
    </row>
    <row r="407" spans="11:13" x14ac:dyDescent="0.25">
      <c r="K407" s="99"/>
      <c r="M407" s="147"/>
    </row>
    <row r="408" spans="11:13" x14ac:dyDescent="0.25">
      <c r="K408" s="99"/>
      <c r="M408" s="147"/>
    </row>
    <row r="409" spans="11:13" x14ac:dyDescent="0.25">
      <c r="K409" s="99"/>
      <c r="M409" s="147"/>
    </row>
    <row r="410" spans="11:13" x14ac:dyDescent="0.25">
      <c r="K410" s="99"/>
      <c r="M410" s="147"/>
    </row>
    <row r="411" spans="11:13" x14ac:dyDescent="0.25">
      <c r="K411" s="99"/>
      <c r="M411" s="147"/>
    </row>
    <row r="412" spans="11:13" x14ac:dyDescent="0.25">
      <c r="K412" s="99"/>
      <c r="M412" s="147"/>
    </row>
    <row r="413" spans="11:13" x14ac:dyDescent="0.25">
      <c r="K413" s="99"/>
      <c r="M413" s="147"/>
    </row>
    <row r="414" spans="11:13" x14ac:dyDescent="0.25">
      <c r="K414" s="99"/>
      <c r="M414" s="147"/>
    </row>
    <row r="415" spans="11:13" x14ac:dyDescent="0.25">
      <c r="K415" s="99"/>
      <c r="M415" s="147"/>
    </row>
    <row r="416" spans="11:13" x14ac:dyDescent="0.25">
      <c r="K416" s="99"/>
      <c r="M416" s="147"/>
    </row>
    <row r="417" spans="11:13" x14ac:dyDescent="0.25">
      <c r="K417" s="99"/>
      <c r="M417" s="147"/>
    </row>
    <row r="418" spans="11:13" x14ac:dyDescent="0.25">
      <c r="K418" s="99"/>
      <c r="M418" s="147"/>
    </row>
    <row r="419" spans="11:13" x14ac:dyDescent="0.25">
      <c r="K419" s="99"/>
      <c r="M419" s="147"/>
    </row>
    <row r="420" spans="11:13" x14ac:dyDescent="0.25">
      <c r="K420" s="99"/>
      <c r="M420" s="147"/>
    </row>
    <row r="421" spans="11:13" x14ac:dyDescent="0.25">
      <c r="K421" s="99"/>
      <c r="M421" s="147"/>
    </row>
    <row r="422" spans="11:13" x14ac:dyDescent="0.25">
      <c r="K422" s="99"/>
      <c r="M422" s="147"/>
    </row>
    <row r="423" spans="11:13" x14ac:dyDescent="0.25">
      <c r="K423" s="99"/>
      <c r="M423" s="147"/>
    </row>
    <row r="424" spans="11:13" x14ac:dyDescent="0.25">
      <c r="K424" s="99"/>
      <c r="M424" s="147"/>
    </row>
    <row r="425" spans="11:13" x14ac:dyDescent="0.25">
      <c r="K425" s="99"/>
      <c r="M425" s="147"/>
    </row>
    <row r="426" spans="11:13" x14ac:dyDescent="0.25">
      <c r="K426" s="99"/>
      <c r="M426" s="147"/>
    </row>
    <row r="427" spans="11:13" x14ac:dyDescent="0.25">
      <c r="K427" s="99"/>
      <c r="M427" s="147"/>
    </row>
    <row r="428" spans="11:13" x14ac:dyDescent="0.25">
      <c r="K428" s="99"/>
      <c r="M428" s="147"/>
    </row>
    <row r="429" spans="11:13" x14ac:dyDescent="0.25">
      <c r="K429" s="99"/>
      <c r="M429" s="147"/>
    </row>
    <row r="430" spans="11:13" x14ac:dyDescent="0.25">
      <c r="K430" s="99"/>
      <c r="M430" s="147"/>
    </row>
    <row r="431" spans="11:13" x14ac:dyDescent="0.25">
      <c r="K431" s="99"/>
      <c r="M431" s="147"/>
    </row>
    <row r="432" spans="11:13" x14ac:dyDescent="0.25">
      <c r="K432" s="99"/>
      <c r="M432" s="147"/>
    </row>
    <row r="433" spans="11:13" x14ac:dyDescent="0.25">
      <c r="K433" s="99"/>
      <c r="M433" s="147"/>
    </row>
    <row r="434" spans="11:13" x14ac:dyDescent="0.25">
      <c r="K434" s="99"/>
      <c r="M434" s="147"/>
    </row>
    <row r="435" spans="11:13" x14ac:dyDescent="0.25">
      <c r="K435" s="99"/>
      <c r="M435" s="147"/>
    </row>
    <row r="436" spans="11:13" x14ac:dyDescent="0.25">
      <c r="K436" s="99"/>
      <c r="M436" s="147"/>
    </row>
    <row r="437" spans="11:13" x14ac:dyDescent="0.25">
      <c r="K437" s="99"/>
      <c r="M437" s="147"/>
    </row>
    <row r="438" spans="11:13" x14ac:dyDescent="0.25">
      <c r="K438" s="99"/>
      <c r="M438" s="147"/>
    </row>
    <row r="439" spans="11:13" x14ac:dyDescent="0.25">
      <c r="K439" s="99"/>
      <c r="M439" s="147"/>
    </row>
    <row r="440" spans="11:13" x14ac:dyDescent="0.25">
      <c r="K440" s="99"/>
      <c r="M440" s="147"/>
    </row>
    <row r="441" spans="11:13" x14ac:dyDescent="0.25">
      <c r="K441" s="99"/>
      <c r="M441" s="147"/>
    </row>
    <row r="442" spans="11:13" x14ac:dyDescent="0.25">
      <c r="K442" s="99"/>
      <c r="M442" s="147"/>
    </row>
    <row r="443" spans="11:13" x14ac:dyDescent="0.25">
      <c r="K443" s="99"/>
      <c r="M443" s="147"/>
    </row>
    <row r="444" spans="11:13" x14ac:dyDescent="0.25">
      <c r="K444" s="99"/>
      <c r="M444" s="147"/>
    </row>
    <row r="445" spans="11:13" x14ac:dyDescent="0.25">
      <c r="K445" s="99"/>
      <c r="M445" s="147"/>
    </row>
    <row r="446" spans="11:13" x14ac:dyDescent="0.25">
      <c r="K446" s="99"/>
      <c r="M446" s="147"/>
    </row>
    <row r="447" spans="11:13" x14ac:dyDescent="0.25">
      <c r="K447" s="99"/>
      <c r="M447" s="147"/>
    </row>
    <row r="448" spans="11:13" x14ac:dyDescent="0.25">
      <c r="K448" s="99"/>
      <c r="M448" s="147"/>
    </row>
    <row r="449" spans="11:13" x14ac:dyDescent="0.25">
      <c r="K449" s="99"/>
      <c r="M449" s="147"/>
    </row>
    <row r="450" spans="11:13" x14ac:dyDescent="0.25">
      <c r="K450" s="99"/>
      <c r="M450" s="147"/>
    </row>
    <row r="451" spans="11:13" x14ac:dyDescent="0.25">
      <c r="K451" s="99"/>
      <c r="M451" s="147"/>
    </row>
    <row r="452" spans="11:13" x14ac:dyDescent="0.25">
      <c r="K452" s="99"/>
      <c r="M452" s="147"/>
    </row>
    <row r="453" spans="11:13" x14ac:dyDescent="0.25">
      <c r="K453" s="99"/>
      <c r="M453" s="147"/>
    </row>
    <row r="454" spans="11:13" x14ac:dyDescent="0.25">
      <c r="K454" s="99"/>
      <c r="M454" s="147"/>
    </row>
    <row r="455" spans="11:13" x14ac:dyDescent="0.25">
      <c r="K455" s="99"/>
      <c r="M455" s="147"/>
    </row>
    <row r="456" spans="11:13" x14ac:dyDescent="0.25">
      <c r="K456" s="99"/>
      <c r="M456" s="147"/>
    </row>
    <row r="457" spans="11:13" x14ac:dyDescent="0.25">
      <c r="K457" s="99"/>
      <c r="M457" s="147"/>
    </row>
    <row r="458" spans="11:13" x14ac:dyDescent="0.25">
      <c r="K458" s="99"/>
      <c r="M458" s="147"/>
    </row>
    <row r="459" spans="11:13" x14ac:dyDescent="0.25">
      <c r="K459" s="99"/>
      <c r="M459" s="147"/>
    </row>
    <row r="460" spans="11:13" x14ac:dyDescent="0.25">
      <c r="K460" s="99"/>
      <c r="M460" s="147"/>
    </row>
    <row r="461" spans="11:13" x14ac:dyDescent="0.25">
      <c r="K461" s="99"/>
      <c r="M461" s="147"/>
    </row>
    <row r="462" spans="11:13" x14ac:dyDescent="0.25">
      <c r="K462" s="99"/>
      <c r="M462" s="147"/>
    </row>
    <row r="463" spans="11:13" x14ac:dyDescent="0.25">
      <c r="K463" s="99"/>
      <c r="M463" s="147"/>
    </row>
    <row r="464" spans="11:13" x14ac:dyDescent="0.25">
      <c r="K464" s="99"/>
      <c r="M464" s="147"/>
    </row>
    <row r="465" spans="11:13" x14ac:dyDescent="0.25">
      <c r="K465" s="99"/>
      <c r="M465" s="147"/>
    </row>
    <row r="466" spans="11:13" x14ac:dyDescent="0.25">
      <c r="K466" s="99"/>
      <c r="M466" s="147"/>
    </row>
    <row r="467" spans="11:13" x14ac:dyDescent="0.25">
      <c r="K467" s="99"/>
      <c r="M467" s="147"/>
    </row>
    <row r="468" spans="11:13" x14ac:dyDescent="0.25">
      <c r="K468" s="99"/>
      <c r="M468" s="147"/>
    </row>
    <row r="469" spans="11:13" x14ac:dyDescent="0.25">
      <c r="K469" s="99"/>
      <c r="M469" s="147"/>
    </row>
    <row r="470" spans="11:13" x14ac:dyDescent="0.25">
      <c r="K470" s="99"/>
      <c r="M470" s="147"/>
    </row>
    <row r="471" spans="11:13" x14ac:dyDescent="0.25">
      <c r="K471" s="99"/>
      <c r="M471" s="147"/>
    </row>
    <row r="472" spans="11:13" x14ac:dyDescent="0.25">
      <c r="K472" s="99"/>
      <c r="M472" s="147"/>
    </row>
    <row r="473" spans="11:13" x14ac:dyDescent="0.25">
      <c r="K473" s="99"/>
      <c r="M473" s="147"/>
    </row>
    <row r="474" spans="11:13" x14ac:dyDescent="0.25">
      <c r="K474" s="99"/>
      <c r="M474" s="147"/>
    </row>
    <row r="475" spans="11:13" x14ac:dyDescent="0.25">
      <c r="K475" s="99"/>
      <c r="M475" s="147"/>
    </row>
    <row r="476" spans="11:13" x14ac:dyDescent="0.25">
      <c r="K476" s="99"/>
      <c r="M476" s="147"/>
    </row>
    <row r="477" spans="11:13" x14ac:dyDescent="0.25">
      <c r="K477" s="99"/>
      <c r="M477" s="147"/>
    </row>
    <row r="478" spans="11:13" x14ac:dyDescent="0.25">
      <c r="K478" s="99"/>
      <c r="M478" s="147"/>
    </row>
    <row r="479" spans="11:13" x14ac:dyDescent="0.25">
      <c r="K479" s="99"/>
      <c r="M479" s="147"/>
    </row>
    <row r="480" spans="11:13" x14ac:dyDescent="0.25">
      <c r="K480" s="99"/>
      <c r="M480" s="147"/>
    </row>
    <row r="481" spans="11:13" x14ac:dyDescent="0.25">
      <c r="K481" s="99"/>
      <c r="M481" s="147"/>
    </row>
    <row r="482" spans="11:13" x14ac:dyDescent="0.25">
      <c r="K482" s="99"/>
      <c r="M482" s="147"/>
    </row>
    <row r="483" spans="11:13" x14ac:dyDescent="0.25">
      <c r="K483" s="99"/>
      <c r="M483" s="147"/>
    </row>
    <row r="484" spans="11:13" x14ac:dyDescent="0.25">
      <c r="K484" s="99"/>
      <c r="M484" s="147"/>
    </row>
    <row r="485" spans="11:13" x14ac:dyDescent="0.25">
      <c r="K485" s="99"/>
      <c r="M485" s="147"/>
    </row>
    <row r="486" spans="11:13" x14ac:dyDescent="0.25">
      <c r="K486" s="99"/>
      <c r="M486" s="147"/>
    </row>
    <row r="487" spans="11:13" x14ac:dyDescent="0.25">
      <c r="K487" s="99"/>
      <c r="M487" s="147"/>
    </row>
    <row r="488" spans="11:13" x14ac:dyDescent="0.25">
      <c r="K488" s="99"/>
      <c r="M488" s="147"/>
    </row>
    <row r="489" spans="11:13" x14ac:dyDescent="0.25">
      <c r="K489" s="99"/>
      <c r="M489" s="147"/>
    </row>
    <row r="490" spans="11:13" x14ac:dyDescent="0.25">
      <c r="K490" s="99"/>
      <c r="M490" s="147"/>
    </row>
    <row r="491" spans="11:13" x14ac:dyDescent="0.25">
      <c r="K491" s="99"/>
      <c r="M491" s="147"/>
    </row>
    <row r="492" spans="11:13" x14ac:dyDescent="0.25">
      <c r="K492" s="99"/>
      <c r="M492" s="147"/>
    </row>
    <row r="493" spans="11:13" x14ac:dyDescent="0.25">
      <c r="K493" s="99"/>
      <c r="M493" s="147"/>
    </row>
    <row r="494" spans="11:13" x14ac:dyDescent="0.25">
      <c r="K494" s="99"/>
      <c r="M494" s="147"/>
    </row>
    <row r="495" spans="11:13" x14ac:dyDescent="0.25">
      <c r="K495" s="99"/>
      <c r="M495" s="147"/>
    </row>
    <row r="496" spans="11:13" x14ac:dyDescent="0.25">
      <c r="K496" s="99"/>
      <c r="M496" s="147"/>
    </row>
    <row r="497" spans="11:13" x14ac:dyDescent="0.25">
      <c r="K497" s="99"/>
      <c r="M497" s="147"/>
    </row>
    <row r="498" spans="11:13" x14ac:dyDescent="0.25">
      <c r="K498" s="99"/>
      <c r="M498" s="147"/>
    </row>
    <row r="499" spans="11:13" x14ac:dyDescent="0.25">
      <c r="K499" s="99"/>
      <c r="M499" s="147"/>
    </row>
    <row r="500" spans="11:13" x14ac:dyDescent="0.25">
      <c r="K500" s="99"/>
      <c r="M500" s="147"/>
    </row>
    <row r="501" spans="11:13" x14ac:dyDescent="0.25">
      <c r="K501" s="99"/>
      <c r="M501" s="147"/>
    </row>
    <row r="502" spans="11:13" x14ac:dyDescent="0.25">
      <c r="K502" s="99"/>
      <c r="M502" s="147"/>
    </row>
    <row r="503" spans="11:13" x14ac:dyDescent="0.25">
      <c r="K503" s="99"/>
      <c r="M503" s="147"/>
    </row>
    <row r="504" spans="11:13" x14ac:dyDescent="0.25">
      <c r="K504" s="99"/>
      <c r="M504" s="147"/>
    </row>
    <row r="505" spans="11:13" x14ac:dyDescent="0.25">
      <c r="K505" s="99"/>
      <c r="M505" s="147"/>
    </row>
    <row r="506" spans="11:13" x14ac:dyDescent="0.25">
      <c r="K506" s="99"/>
      <c r="M506" s="147"/>
    </row>
    <row r="507" spans="11:13" x14ac:dyDescent="0.25">
      <c r="K507" s="99"/>
      <c r="M507" s="147"/>
    </row>
    <row r="508" spans="11:13" x14ac:dyDescent="0.25">
      <c r="K508" s="99"/>
      <c r="M508" s="147"/>
    </row>
    <row r="509" spans="11:13" x14ac:dyDescent="0.25">
      <c r="K509" s="99"/>
      <c r="M509" s="147"/>
    </row>
    <row r="510" spans="11:13" x14ac:dyDescent="0.25">
      <c r="K510" s="99"/>
      <c r="M510" s="147"/>
    </row>
    <row r="511" spans="11:13" x14ac:dyDescent="0.25">
      <c r="K511" s="99"/>
      <c r="M511" s="147"/>
    </row>
    <row r="512" spans="11:13" x14ac:dyDescent="0.25">
      <c r="K512" s="99"/>
      <c r="M512" s="147"/>
    </row>
    <row r="513" spans="11:13" x14ac:dyDescent="0.25">
      <c r="K513" s="99"/>
      <c r="M513" s="147"/>
    </row>
    <row r="514" spans="11:13" x14ac:dyDescent="0.25">
      <c r="K514" s="99"/>
      <c r="M514" s="147"/>
    </row>
    <row r="515" spans="11:13" x14ac:dyDescent="0.25">
      <c r="K515" s="99"/>
      <c r="M515" s="147"/>
    </row>
    <row r="516" spans="11:13" x14ac:dyDescent="0.25">
      <c r="K516" s="99"/>
      <c r="M516" s="147"/>
    </row>
    <row r="517" spans="11:13" x14ac:dyDescent="0.25">
      <c r="K517" s="99"/>
      <c r="M517" s="147"/>
    </row>
    <row r="518" spans="11:13" x14ac:dyDescent="0.25">
      <c r="K518" s="99"/>
      <c r="M518" s="147"/>
    </row>
    <row r="519" spans="11:13" x14ac:dyDescent="0.25">
      <c r="K519" s="99"/>
      <c r="M519" s="147"/>
    </row>
    <row r="520" spans="11:13" x14ac:dyDescent="0.25">
      <c r="K520" s="99"/>
      <c r="M520" s="147"/>
    </row>
    <row r="521" spans="11:13" x14ac:dyDescent="0.25">
      <c r="K521" s="99"/>
      <c r="M521" s="147"/>
    </row>
    <row r="522" spans="11:13" x14ac:dyDescent="0.25">
      <c r="K522" s="99"/>
      <c r="M522" s="147"/>
    </row>
    <row r="523" spans="11:13" x14ac:dyDescent="0.25">
      <c r="K523" s="99"/>
      <c r="M523" s="147"/>
    </row>
    <row r="524" spans="11:13" x14ac:dyDescent="0.25">
      <c r="K524" s="99"/>
      <c r="M524" s="147"/>
    </row>
    <row r="525" spans="11:13" x14ac:dyDescent="0.25">
      <c r="K525" s="99"/>
      <c r="M525" s="147"/>
    </row>
    <row r="526" spans="11:13" x14ac:dyDescent="0.25">
      <c r="K526" s="99"/>
      <c r="M526" s="147"/>
    </row>
    <row r="527" spans="11:13" x14ac:dyDescent="0.25">
      <c r="K527" s="99"/>
      <c r="M527" s="147"/>
    </row>
    <row r="528" spans="11:13" x14ac:dyDescent="0.25">
      <c r="K528" s="99"/>
      <c r="M528" s="147"/>
    </row>
    <row r="529" spans="11:13" x14ac:dyDescent="0.25">
      <c r="K529" s="99"/>
      <c r="M529" s="147"/>
    </row>
    <row r="530" spans="11:13" x14ac:dyDescent="0.25">
      <c r="K530" s="99"/>
      <c r="M530" s="147"/>
    </row>
    <row r="531" spans="11:13" x14ac:dyDescent="0.25">
      <c r="K531" s="99"/>
      <c r="M531" s="147"/>
    </row>
    <row r="532" spans="11:13" x14ac:dyDescent="0.25">
      <c r="K532" s="99"/>
      <c r="M532" s="147"/>
    </row>
    <row r="533" spans="11:13" x14ac:dyDescent="0.25">
      <c r="K533" s="99"/>
      <c r="M533" s="147"/>
    </row>
    <row r="534" spans="11:13" x14ac:dyDescent="0.25">
      <c r="K534" s="99"/>
      <c r="M534" s="147"/>
    </row>
    <row r="535" spans="11:13" x14ac:dyDescent="0.25">
      <c r="K535" s="99"/>
      <c r="M535" s="147"/>
    </row>
    <row r="536" spans="11:13" x14ac:dyDescent="0.25">
      <c r="K536" s="99"/>
      <c r="M536" s="147"/>
    </row>
    <row r="537" spans="11:13" x14ac:dyDescent="0.25">
      <c r="K537" s="99"/>
      <c r="M537" s="147"/>
    </row>
    <row r="538" spans="11:13" x14ac:dyDescent="0.25">
      <c r="K538" s="99"/>
      <c r="M538" s="147"/>
    </row>
    <row r="539" spans="11:13" x14ac:dyDescent="0.25">
      <c r="K539" s="99"/>
      <c r="M539" s="147"/>
    </row>
    <row r="540" spans="11:13" x14ac:dyDescent="0.25">
      <c r="K540" s="99"/>
      <c r="M540" s="147"/>
    </row>
    <row r="541" spans="11:13" x14ac:dyDescent="0.25">
      <c r="K541" s="99"/>
      <c r="M541" s="147"/>
    </row>
    <row r="542" spans="11:13" x14ac:dyDescent="0.25">
      <c r="K542" s="99"/>
      <c r="M542" s="147"/>
    </row>
    <row r="543" spans="11:13" x14ac:dyDescent="0.25">
      <c r="K543" s="99"/>
      <c r="M543" s="147"/>
    </row>
    <row r="544" spans="11:13" x14ac:dyDescent="0.25">
      <c r="K544" s="99"/>
      <c r="M544" s="147"/>
    </row>
    <row r="545" spans="11:13" x14ac:dyDescent="0.25">
      <c r="K545" s="99"/>
      <c r="M545" s="147"/>
    </row>
    <row r="546" spans="11:13" x14ac:dyDescent="0.25">
      <c r="K546" s="99"/>
      <c r="M546" s="147"/>
    </row>
    <row r="547" spans="11:13" x14ac:dyDescent="0.25">
      <c r="K547" s="99"/>
      <c r="M547" s="147"/>
    </row>
    <row r="548" spans="11:13" x14ac:dyDescent="0.25">
      <c r="K548" s="99"/>
      <c r="M548" s="147"/>
    </row>
    <row r="549" spans="11:13" x14ac:dyDescent="0.25">
      <c r="K549" s="99"/>
      <c r="M549" s="147"/>
    </row>
    <row r="550" spans="11:13" x14ac:dyDescent="0.25">
      <c r="K550" s="99"/>
      <c r="M550" s="147"/>
    </row>
    <row r="551" spans="11:13" x14ac:dyDescent="0.25">
      <c r="K551" s="99"/>
      <c r="M551" s="147"/>
    </row>
    <row r="552" spans="11:13" x14ac:dyDescent="0.25">
      <c r="K552" s="99"/>
      <c r="M552" s="147"/>
    </row>
    <row r="553" spans="11:13" x14ac:dyDescent="0.25">
      <c r="K553" s="99"/>
      <c r="M553" s="147"/>
    </row>
    <row r="554" spans="11:13" x14ac:dyDescent="0.25">
      <c r="K554" s="99"/>
      <c r="M554" s="147"/>
    </row>
    <row r="555" spans="11:13" x14ac:dyDescent="0.25">
      <c r="K555" s="99"/>
      <c r="M555" s="147"/>
    </row>
    <row r="556" spans="11:13" x14ac:dyDescent="0.25">
      <c r="K556" s="99"/>
      <c r="M556" s="147"/>
    </row>
    <row r="557" spans="11:13" x14ac:dyDescent="0.25">
      <c r="K557" s="99"/>
      <c r="M557" s="147"/>
    </row>
    <row r="558" spans="11:13" x14ac:dyDescent="0.25">
      <c r="K558" s="99"/>
      <c r="M558" s="147"/>
    </row>
    <row r="559" spans="11:13" x14ac:dyDescent="0.25">
      <c r="K559" s="99"/>
      <c r="M559" s="147"/>
    </row>
    <row r="560" spans="11:13" x14ac:dyDescent="0.25">
      <c r="K560" s="99"/>
      <c r="M560" s="147"/>
    </row>
    <row r="561" spans="11:13" x14ac:dyDescent="0.25">
      <c r="K561" s="99"/>
      <c r="M561" s="147"/>
    </row>
    <row r="562" spans="11:13" x14ac:dyDescent="0.25">
      <c r="K562" s="99"/>
      <c r="M562" s="147"/>
    </row>
    <row r="563" spans="11:13" x14ac:dyDescent="0.25">
      <c r="K563" s="99"/>
      <c r="M563" s="147"/>
    </row>
    <row r="564" spans="11:13" x14ac:dyDescent="0.25">
      <c r="K564" s="99"/>
      <c r="M564" s="147"/>
    </row>
    <row r="565" spans="11:13" x14ac:dyDescent="0.25">
      <c r="K565" s="99"/>
      <c r="M565" s="147"/>
    </row>
    <row r="566" spans="11:13" x14ac:dyDescent="0.25">
      <c r="K566" s="99"/>
      <c r="M566" s="147"/>
    </row>
    <row r="567" spans="11:13" x14ac:dyDescent="0.25">
      <c r="K567" s="99"/>
    </row>
    <row r="568" spans="11:13" x14ac:dyDescent="0.25">
      <c r="K568" s="99"/>
    </row>
    <row r="569" spans="11:13" x14ac:dyDescent="0.25">
      <c r="K569" s="99"/>
    </row>
    <row r="570" spans="11:13" x14ac:dyDescent="0.25">
      <c r="K570" s="99"/>
    </row>
    <row r="571" spans="11:13" x14ac:dyDescent="0.25">
      <c r="K571" s="99"/>
    </row>
    <row r="572" spans="11:13" x14ac:dyDescent="0.25">
      <c r="K572" s="99"/>
    </row>
    <row r="573" spans="11:13" x14ac:dyDescent="0.25">
      <c r="K573" s="99"/>
    </row>
    <row r="574" spans="11:13" x14ac:dyDescent="0.25">
      <c r="K574" s="99"/>
    </row>
    <row r="575" spans="11:13" x14ac:dyDescent="0.25">
      <c r="K575" s="99"/>
    </row>
    <row r="576" spans="11:13" x14ac:dyDescent="0.25">
      <c r="K576" s="99"/>
    </row>
    <row r="577" spans="11:11" x14ac:dyDescent="0.25">
      <c r="K577" s="99"/>
    </row>
    <row r="578" spans="11:11" x14ac:dyDescent="0.25">
      <c r="K578" s="99"/>
    </row>
    <row r="579" spans="11:11" x14ac:dyDescent="0.25">
      <c r="K579" s="99"/>
    </row>
    <row r="580" spans="11:11" x14ac:dyDescent="0.25">
      <c r="K580" s="99"/>
    </row>
    <row r="581" spans="11:11" x14ac:dyDescent="0.25">
      <c r="K581" s="99"/>
    </row>
    <row r="582" spans="11:11" x14ac:dyDescent="0.25">
      <c r="K582" s="99"/>
    </row>
    <row r="583" spans="11:11" x14ac:dyDescent="0.25">
      <c r="K583" s="99"/>
    </row>
    <row r="584" spans="11:11" x14ac:dyDescent="0.25">
      <c r="K584" s="99"/>
    </row>
    <row r="585" spans="11:11" x14ac:dyDescent="0.25">
      <c r="K585" s="99"/>
    </row>
    <row r="586" spans="11:11" x14ac:dyDescent="0.25">
      <c r="K586" s="99"/>
    </row>
    <row r="587" spans="11:11" x14ac:dyDescent="0.25">
      <c r="K587" s="99"/>
    </row>
    <row r="588" spans="11:11" x14ac:dyDescent="0.25">
      <c r="K588" s="99"/>
    </row>
    <row r="589" spans="11:11" x14ac:dyDescent="0.25">
      <c r="K589" s="99"/>
    </row>
    <row r="590" spans="11:11" x14ac:dyDescent="0.25">
      <c r="K590" s="99"/>
    </row>
    <row r="591" spans="11:11" x14ac:dyDescent="0.25">
      <c r="K591" s="99"/>
    </row>
    <row r="592" spans="11:11" x14ac:dyDescent="0.25">
      <c r="K592" s="99"/>
    </row>
    <row r="593" spans="11:11" x14ac:dyDescent="0.25">
      <c r="K593" s="99"/>
    </row>
    <row r="594" spans="11:11" x14ac:dyDescent="0.25">
      <c r="K594" s="99"/>
    </row>
    <row r="595" spans="11:11" x14ac:dyDescent="0.25">
      <c r="K595" s="99"/>
    </row>
    <row r="596" spans="11:11" x14ac:dyDescent="0.25">
      <c r="K596" s="99"/>
    </row>
    <row r="597" spans="11:11" x14ac:dyDescent="0.25">
      <c r="K597" s="99"/>
    </row>
    <row r="598" spans="11:11" x14ac:dyDescent="0.25">
      <c r="K598" s="99"/>
    </row>
    <row r="599" spans="11:11" x14ac:dyDescent="0.25">
      <c r="K599" s="99"/>
    </row>
    <row r="600" spans="11:11" x14ac:dyDescent="0.25">
      <c r="K600" s="99"/>
    </row>
    <row r="601" spans="11:11" x14ac:dyDescent="0.25">
      <c r="K601" s="99"/>
    </row>
    <row r="602" spans="11:11" x14ac:dyDescent="0.25">
      <c r="K602" s="99"/>
    </row>
    <row r="603" spans="11:11" x14ac:dyDescent="0.25">
      <c r="K603" s="99"/>
    </row>
    <row r="604" spans="11:11" x14ac:dyDescent="0.25">
      <c r="K604" s="99"/>
    </row>
    <row r="605" spans="11:11" x14ac:dyDescent="0.25">
      <c r="K605" s="99"/>
    </row>
    <row r="606" spans="11:11" x14ac:dyDescent="0.25">
      <c r="K606" s="99"/>
    </row>
    <row r="607" spans="11:11" x14ac:dyDescent="0.25">
      <c r="K607" s="99"/>
    </row>
    <row r="608" spans="11:11" x14ac:dyDescent="0.25">
      <c r="K608" s="99"/>
    </row>
    <row r="609" spans="11:11" x14ac:dyDescent="0.25">
      <c r="K609" s="99"/>
    </row>
    <row r="610" spans="11:11" x14ac:dyDescent="0.25">
      <c r="K610" s="99"/>
    </row>
    <row r="611" spans="11:11" x14ac:dyDescent="0.25">
      <c r="K611" s="99"/>
    </row>
    <row r="612" spans="11:11" x14ac:dyDescent="0.25">
      <c r="K612" s="99"/>
    </row>
    <row r="613" spans="11:11" x14ac:dyDescent="0.25">
      <c r="K613" s="99"/>
    </row>
    <row r="614" spans="11:11" x14ac:dyDescent="0.25">
      <c r="K614" s="99"/>
    </row>
    <row r="615" spans="11:11" x14ac:dyDescent="0.25">
      <c r="K615" s="99"/>
    </row>
    <row r="616" spans="11:11" x14ac:dyDescent="0.25">
      <c r="K616" s="99"/>
    </row>
    <row r="617" spans="11:11" x14ac:dyDescent="0.25">
      <c r="K617" s="99"/>
    </row>
    <row r="618" spans="11:11" x14ac:dyDescent="0.25">
      <c r="K618" s="99"/>
    </row>
    <row r="619" spans="11:11" x14ac:dyDescent="0.25">
      <c r="K619" s="99"/>
    </row>
    <row r="620" spans="11:11" x14ac:dyDescent="0.25">
      <c r="K620" s="99"/>
    </row>
    <row r="621" spans="11:11" x14ac:dyDescent="0.25">
      <c r="K621" s="99"/>
    </row>
    <row r="622" spans="11:11" x14ac:dyDescent="0.25">
      <c r="K622" s="99"/>
    </row>
    <row r="623" spans="11:11" x14ac:dyDescent="0.25">
      <c r="K623" s="99"/>
    </row>
    <row r="624" spans="11:11" x14ac:dyDescent="0.25">
      <c r="K624" s="99"/>
    </row>
    <row r="625" spans="11:11" x14ac:dyDescent="0.25">
      <c r="K625" s="99"/>
    </row>
    <row r="626" spans="11:11" x14ac:dyDescent="0.25">
      <c r="K626" s="99"/>
    </row>
    <row r="627" spans="11:11" x14ac:dyDescent="0.25">
      <c r="K627" s="99"/>
    </row>
    <row r="628" spans="11:11" x14ac:dyDescent="0.25">
      <c r="K628" s="99"/>
    </row>
    <row r="629" spans="11:11" x14ac:dyDescent="0.25">
      <c r="K629" s="99"/>
    </row>
    <row r="630" spans="11:11" x14ac:dyDescent="0.25">
      <c r="K630" s="99"/>
    </row>
    <row r="631" spans="11:11" x14ac:dyDescent="0.25">
      <c r="K631" s="99"/>
    </row>
    <row r="632" spans="11:11" x14ac:dyDescent="0.25">
      <c r="K632" s="99"/>
    </row>
    <row r="633" spans="11:11" x14ac:dyDescent="0.25">
      <c r="K633" s="99"/>
    </row>
    <row r="634" spans="11:11" x14ac:dyDescent="0.25">
      <c r="K634" s="99"/>
    </row>
    <row r="635" spans="11:11" x14ac:dyDescent="0.25">
      <c r="K635" s="99"/>
    </row>
    <row r="636" spans="11:11" x14ac:dyDescent="0.25">
      <c r="K636" s="99"/>
    </row>
    <row r="637" spans="11:11" x14ac:dyDescent="0.25">
      <c r="K637" s="99"/>
    </row>
    <row r="638" spans="11:11" x14ac:dyDescent="0.25">
      <c r="K638" s="99"/>
    </row>
    <row r="639" spans="11:11" x14ac:dyDescent="0.25">
      <c r="K639" s="99"/>
    </row>
    <row r="640" spans="11:11" x14ac:dyDescent="0.25">
      <c r="K640" s="99"/>
    </row>
    <row r="641" spans="11:11" x14ac:dyDescent="0.25">
      <c r="K641" s="99"/>
    </row>
    <row r="642" spans="11:11" x14ac:dyDescent="0.25">
      <c r="K642" s="99"/>
    </row>
    <row r="643" spans="11:11" x14ac:dyDescent="0.25">
      <c r="K643" s="99"/>
    </row>
    <row r="644" spans="11:11" x14ac:dyDescent="0.25">
      <c r="K644" s="99"/>
    </row>
    <row r="645" spans="11:11" x14ac:dyDescent="0.25">
      <c r="K645" s="99"/>
    </row>
    <row r="646" spans="11:11" x14ac:dyDescent="0.25">
      <c r="K646" s="99"/>
    </row>
    <row r="647" spans="11:11" x14ac:dyDescent="0.25">
      <c r="K647" s="99"/>
    </row>
    <row r="648" spans="11:11" x14ac:dyDescent="0.25">
      <c r="K648" s="99"/>
    </row>
    <row r="649" spans="11:11" x14ac:dyDescent="0.25">
      <c r="K649" s="99"/>
    </row>
    <row r="650" spans="11:11" x14ac:dyDescent="0.25">
      <c r="K650" s="99"/>
    </row>
    <row r="651" spans="11:11" x14ac:dyDescent="0.25">
      <c r="K651" s="99"/>
    </row>
    <row r="652" spans="11:11" x14ac:dyDescent="0.25">
      <c r="K652" s="99"/>
    </row>
    <row r="653" spans="11:11" x14ac:dyDescent="0.25">
      <c r="K653" s="99"/>
    </row>
    <row r="654" spans="11:11" x14ac:dyDescent="0.25">
      <c r="K654" s="99"/>
    </row>
    <row r="655" spans="11:11" x14ac:dyDescent="0.25">
      <c r="K655" s="99"/>
    </row>
    <row r="656" spans="11:11" x14ac:dyDescent="0.25">
      <c r="K656" s="99"/>
    </row>
    <row r="657" spans="11:11" x14ac:dyDescent="0.25">
      <c r="K657" s="99"/>
    </row>
    <row r="658" spans="11:11" x14ac:dyDescent="0.25">
      <c r="K658" s="99"/>
    </row>
    <row r="659" spans="11:11" x14ac:dyDescent="0.25">
      <c r="K659" s="99"/>
    </row>
    <row r="660" spans="11:11" x14ac:dyDescent="0.25">
      <c r="K660" s="99"/>
    </row>
    <row r="661" spans="11:11" x14ac:dyDescent="0.25">
      <c r="K661" s="99"/>
    </row>
    <row r="662" spans="11:11" x14ac:dyDescent="0.25">
      <c r="K662" s="99"/>
    </row>
    <row r="663" spans="11:11" x14ac:dyDescent="0.25">
      <c r="K663" s="99"/>
    </row>
    <row r="664" spans="11:11" x14ac:dyDescent="0.25">
      <c r="K664" s="99"/>
    </row>
    <row r="665" spans="11:11" x14ac:dyDescent="0.25">
      <c r="K665" s="99"/>
    </row>
    <row r="666" spans="11:11" x14ac:dyDescent="0.25">
      <c r="K666" s="99"/>
    </row>
    <row r="667" spans="11:11" x14ac:dyDescent="0.25">
      <c r="K667" s="99"/>
    </row>
    <row r="668" spans="11:11" x14ac:dyDescent="0.25">
      <c r="K668" s="99"/>
    </row>
    <row r="669" spans="11:11" x14ac:dyDescent="0.25">
      <c r="K669" s="99"/>
    </row>
    <row r="670" spans="11:11" x14ac:dyDescent="0.25">
      <c r="K670" s="99"/>
    </row>
    <row r="671" spans="11:11" x14ac:dyDescent="0.25">
      <c r="K671" s="99"/>
    </row>
    <row r="672" spans="11:11" x14ac:dyDescent="0.25">
      <c r="K672" s="99"/>
    </row>
    <row r="673" spans="11:11" x14ac:dyDescent="0.25">
      <c r="K673" s="99"/>
    </row>
    <row r="674" spans="11:11" x14ac:dyDescent="0.25">
      <c r="K674" s="99"/>
    </row>
    <row r="675" spans="11:11" x14ac:dyDescent="0.25">
      <c r="K675" s="99"/>
    </row>
    <row r="676" spans="11:11" x14ac:dyDescent="0.25">
      <c r="K676" s="99"/>
    </row>
    <row r="677" spans="11:11" x14ac:dyDescent="0.25">
      <c r="K677" s="99"/>
    </row>
    <row r="678" spans="11:11" x14ac:dyDescent="0.25">
      <c r="K678" s="99"/>
    </row>
    <row r="679" spans="11:11" x14ac:dyDescent="0.25">
      <c r="K679" s="99"/>
    </row>
    <row r="680" spans="11:11" x14ac:dyDescent="0.25">
      <c r="K680" s="99"/>
    </row>
    <row r="681" spans="11:11" x14ac:dyDescent="0.25">
      <c r="K681" s="99"/>
    </row>
    <row r="682" spans="11:11" x14ac:dyDescent="0.25">
      <c r="K682" s="99"/>
    </row>
    <row r="683" spans="11:11" x14ac:dyDescent="0.25">
      <c r="K683" s="99"/>
    </row>
    <row r="684" spans="11:11" x14ac:dyDescent="0.25">
      <c r="K684" s="99"/>
    </row>
    <row r="685" spans="11:11" x14ac:dyDescent="0.25">
      <c r="K685" s="99"/>
    </row>
    <row r="686" spans="11:11" x14ac:dyDescent="0.25">
      <c r="K686" s="99"/>
    </row>
    <row r="687" spans="11:11" x14ac:dyDescent="0.25">
      <c r="K687" s="99"/>
    </row>
    <row r="688" spans="11:11" x14ac:dyDescent="0.25">
      <c r="K688" s="99"/>
    </row>
    <row r="689" spans="11:11" x14ac:dyDescent="0.25">
      <c r="K689" s="99"/>
    </row>
    <row r="690" spans="11:11" x14ac:dyDescent="0.25">
      <c r="K690" s="99"/>
    </row>
    <row r="691" spans="11:11" x14ac:dyDescent="0.25">
      <c r="K691" s="99"/>
    </row>
    <row r="692" spans="11:11" x14ac:dyDescent="0.25">
      <c r="K692" s="99"/>
    </row>
    <row r="693" spans="11:11" x14ac:dyDescent="0.25">
      <c r="K693" s="99"/>
    </row>
    <row r="694" spans="11:11" x14ac:dyDescent="0.25">
      <c r="K694" s="99"/>
    </row>
    <row r="695" spans="11:11" x14ac:dyDescent="0.25">
      <c r="K695" s="99"/>
    </row>
    <row r="696" spans="11:11" x14ac:dyDescent="0.25">
      <c r="K696" s="99"/>
    </row>
    <row r="697" spans="11:11" x14ac:dyDescent="0.25">
      <c r="K697" s="99"/>
    </row>
    <row r="698" spans="11:11" x14ac:dyDescent="0.25">
      <c r="K698" s="99"/>
    </row>
    <row r="699" spans="11:11" x14ac:dyDescent="0.25">
      <c r="K699" s="99"/>
    </row>
    <row r="700" spans="11:11" x14ac:dyDescent="0.25">
      <c r="K700" s="99"/>
    </row>
    <row r="701" spans="11:11" x14ac:dyDescent="0.25">
      <c r="K701" s="99"/>
    </row>
    <row r="702" spans="11:11" x14ac:dyDescent="0.25">
      <c r="K702" s="99"/>
    </row>
    <row r="703" spans="11:11" x14ac:dyDescent="0.25">
      <c r="K703" s="99"/>
    </row>
    <row r="704" spans="11:11" x14ac:dyDescent="0.25">
      <c r="K704" s="99"/>
    </row>
    <row r="705" spans="11:11" x14ac:dyDescent="0.25">
      <c r="K705" s="99"/>
    </row>
    <row r="706" spans="11:11" x14ac:dyDescent="0.25">
      <c r="K706" s="99"/>
    </row>
    <row r="707" spans="11:11" x14ac:dyDescent="0.25">
      <c r="K707" s="99"/>
    </row>
    <row r="708" spans="11:11" x14ac:dyDescent="0.25">
      <c r="K708" s="99"/>
    </row>
    <row r="709" spans="11:11" x14ac:dyDescent="0.25">
      <c r="K709" s="99"/>
    </row>
    <row r="710" spans="11:11" x14ac:dyDescent="0.25">
      <c r="K710" s="99"/>
    </row>
    <row r="711" spans="11:11" x14ac:dyDescent="0.25">
      <c r="K711" s="99"/>
    </row>
    <row r="712" spans="11:11" x14ac:dyDescent="0.25">
      <c r="K712" s="99"/>
    </row>
    <row r="713" spans="11:11" x14ac:dyDescent="0.25">
      <c r="K713" s="99"/>
    </row>
    <row r="714" spans="11:11" x14ac:dyDescent="0.25">
      <c r="K714" s="99"/>
    </row>
    <row r="715" spans="11:11" x14ac:dyDescent="0.25">
      <c r="K715" s="99"/>
    </row>
    <row r="716" spans="11:11" x14ac:dyDescent="0.25">
      <c r="K716" s="99"/>
    </row>
    <row r="717" spans="11:11" x14ac:dyDescent="0.25">
      <c r="K717" s="99"/>
    </row>
    <row r="718" spans="11:11" x14ac:dyDescent="0.25">
      <c r="K718" s="99"/>
    </row>
    <row r="719" spans="11:11" x14ac:dyDescent="0.25">
      <c r="K719" s="99"/>
    </row>
    <row r="720" spans="11:11" x14ac:dyDescent="0.25">
      <c r="K720" s="99"/>
    </row>
    <row r="721" spans="11:11" x14ac:dyDescent="0.25">
      <c r="K721" s="99"/>
    </row>
    <row r="722" spans="11:11" x14ac:dyDescent="0.25">
      <c r="K722" s="99"/>
    </row>
    <row r="723" spans="11:11" x14ac:dyDescent="0.25">
      <c r="K723" s="99"/>
    </row>
    <row r="724" spans="11:11" x14ac:dyDescent="0.25">
      <c r="K724" s="99"/>
    </row>
    <row r="725" spans="11:11" x14ac:dyDescent="0.25">
      <c r="K725" s="99"/>
    </row>
    <row r="726" spans="11:11" x14ac:dyDescent="0.25">
      <c r="K726" s="99"/>
    </row>
    <row r="727" spans="11:11" x14ac:dyDescent="0.25">
      <c r="K727" s="99"/>
    </row>
    <row r="728" spans="11:11" x14ac:dyDescent="0.25">
      <c r="K728" s="99"/>
    </row>
    <row r="729" spans="11:11" x14ac:dyDescent="0.25">
      <c r="K729" s="99"/>
    </row>
    <row r="730" spans="11:11" x14ac:dyDescent="0.25">
      <c r="K730" s="99"/>
    </row>
    <row r="731" spans="11:11" x14ac:dyDescent="0.25">
      <c r="K731" s="99"/>
    </row>
    <row r="732" spans="11:11" x14ac:dyDescent="0.25">
      <c r="K732" s="99"/>
    </row>
    <row r="733" spans="11:11" x14ac:dyDescent="0.25">
      <c r="K733" s="99"/>
    </row>
  </sheetData>
  <mergeCells count="12">
    <mergeCell ref="H6:I7"/>
    <mergeCell ref="E6:G7"/>
    <mergeCell ref="K2:L2"/>
    <mergeCell ref="K3:L3"/>
    <mergeCell ref="K4:L4"/>
    <mergeCell ref="K5:L5"/>
    <mergeCell ref="K6:L6"/>
    <mergeCell ref="O8:O9"/>
    <mergeCell ref="B8:B9"/>
    <mergeCell ref="H8:H9"/>
    <mergeCell ref="I8:I9"/>
    <mergeCell ref="E8:E9"/>
  </mergeCells>
  <phoneticPr fontId="0" type="noConversion"/>
  <printOptions verticalCentered="1" gridLines="1"/>
  <pageMargins left="0.39370078740157483" right="0.39370078740157483" top="3.937007874015748E-2" bottom="0.19685039370078741" header="0.51181102362204722" footer="0.51181102362204722"/>
  <pageSetup paperSize="9" scale="65" fitToWidth="2" orientation="landscape" horizontalDpi="4294967293" r:id="rId1"/>
  <headerFooter alignWithMargins="0"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HOW TO USE</vt:lpstr>
      <vt:lpstr>LOSS LIST</vt:lpstr>
      <vt:lpstr>Office Use - Settlement</vt:lpstr>
      <vt:lpstr>'HOW TO USE'!Print_Area</vt:lpstr>
      <vt:lpstr>'LOSS LIST'!Print_Area</vt:lpstr>
      <vt:lpstr>'Office Use - Settlement'!Print_Area</vt:lpstr>
      <vt:lpstr>'LOSS LIST'!Print_Titles</vt:lpstr>
      <vt:lpstr>'Office Use - Settlement'!Print_Titles</vt:lpstr>
    </vt:vector>
  </TitlesOfParts>
  <Manager/>
  <Company>Royal SunAliance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Loss List - Contents</dc:subject>
  <dc:creator>Davies Group Ltd (MDM)</dc:creator>
  <cp:keywords/>
  <dc:description>Household Loss List - Theft Claims</dc:description>
  <cp:lastModifiedBy>Sarah Molyneux</cp:lastModifiedBy>
  <cp:revision/>
  <dcterms:created xsi:type="dcterms:W3CDTF">2005-12-02T15:14:43Z</dcterms:created>
  <dcterms:modified xsi:type="dcterms:W3CDTF">2025-06-10T16:54:46Z</dcterms:modified>
  <cp:category/>
  <cp:contentStatus/>
</cp:coreProperties>
</file>